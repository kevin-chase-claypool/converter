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cks\Documents\Claude\converter\docs\project\"/>
    </mc:Choice>
  </mc:AlternateContent>
  <xr:revisionPtr revIDLastSave="0" documentId="13_ncr:1_{D84B95E3-0A33-48F3-B220-77558329829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shboard" sheetId="1" r:id="rId1"/>
    <sheet name="Gantt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2" l="1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J5" i="1"/>
  <c r="G5" i="1"/>
  <c r="D5" i="1"/>
  <c r="A5" i="1"/>
</calcChain>
</file>

<file path=xl/sharedStrings.xml><?xml version="1.0" encoding="utf-8"?>
<sst xmlns="http://schemas.openxmlformats.org/spreadsheetml/2006/main" count="446" uniqueCount="196">
  <si>
    <t>Schedule baseline: 2026-06-01 through 2026-12-29. Change dates and statuses on the Gantt sheet.</t>
  </si>
  <si>
    <t>TOTAL TASKS</t>
  </si>
  <si>
    <t>COMPLETE</t>
  </si>
  <si>
    <t>IN PROGRESS</t>
  </si>
  <si>
    <t>BLOCKED</t>
  </si>
  <si>
    <t>Phase</t>
  </si>
  <si>
    <t>Tasks</t>
  </si>
  <si>
    <t>Complete</t>
  </si>
  <si>
    <t>Average Progress</t>
  </si>
  <si>
    <t>Phase 0 - Repository</t>
  </si>
  <si>
    <t>Phase 1 - Electrical</t>
  </si>
  <si>
    <t>Phase 2 - Controller</t>
  </si>
  <si>
    <t>Phase 3 - Single Axis</t>
  </si>
  <si>
    <t>Phase 4 - Three Axis</t>
  </si>
  <si>
    <t>Phase 5 - Toolhead</t>
  </si>
  <si>
    <t>Phase 6 - Integration</t>
  </si>
  <si>
    <t>Phase 7 - Validation</t>
  </si>
  <si>
    <t>Current Focus</t>
  </si>
  <si>
    <t>Complete the Phase 1 bench worksheet before connecting motors or the toolhead to RP23CNC. Record evidence in lab notes, then update ROADMAP.md and this workbook together.</t>
  </si>
  <si>
    <t>Status Legend</t>
  </si>
  <si>
    <t>Not Started</t>
  </si>
  <si>
    <t>In Progress</t>
  </si>
  <si>
    <t>Blocked</t>
  </si>
  <si>
    <t>Theta Pen Plotter Project Gantt</t>
  </si>
  <si>
    <t>Editable schedule generated from docs/project/ROADMAP.md. Update task inputs, then keep roadmap evidence/checklists authoritative.</t>
  </si>
  <si>
    <t>Edit columns D-H, J-M. End dates and summaries are formula-driven. Timeline bars update from Start, End, and Status.</t>
  </si>
  <si>
    <t>ID</t>
  </si>
  <si>
    <t>Task</t>
  </si>
  <si>
    <t>Owner</t>
  </si>
  <si>
    <t>Status</t>
  </si>
  <si>
    <t>Priority</t>
  </si>
  <si>
    <t>Duration</t>
  </si>
  <si>
    <t>Start</t>
  </si>
  <si>
    <t>End</t>
  </si>
  <si>
    <t>Progress</t>
  </si>
  <si>
    <t>Predecessor</t>
  </si>
  <si>
    <t>Evidence / Exit Proof</t>
  </si>
  <si>
    <t>Notes</t>
  </si>
  <si>
    <t>P0-01</t>
  </si>
  <si>
    <t>Repository organization and documentation baseline</t>
  </si>
  <si>
    <t>Codex</t>
  </si>
  <si>
    <t>High</t>
  </si>
  <si>
    <t>ROADMAP Phase 0</t>
  </si>
  <si>
    <t>Completed before hardware bring-up</t>
  </si>
  <si>
    <t>P1-01</t>
  </si>
  <si>
    <t>Inventory and photograph RP23CNC kits and PCB revision (E-16)</t>
  </si>
  <si>
    <t>Project Owner</t>
  </si>
  <si>
    <t>Photo + E-16 lab note</t>
  </si>
  <si>
    <t>P1-02</t>
  </si>
  <si>
    <t>Solder and inspect RP23CNC connectors and Ethernet components (E-17)</t>
  </si>
  <si>
    <t>Photos + continuity results</t>
  </si>
  <si>
    <t>P1-03</t>
  </si>
  <si>
    <t>Identify driver, sensor, and module revisions</t>
  </si>
  <si>
    <t>Medium</t>
  </si>
  <si>
    <t>Component photos</t>
  </si>
  <si>
    <t>P1-04</t>
  </si>
  <si>
    <t>Verify S-120-12 labels, earth continuity, and no-load output (E-11)</t>
  </si>
  <si>
    <t>E-11 lab note</t>
  </si>
  <si>
    <t>P1-05</t>
  </si>
  <si>
    <t>Measure stepper coil pairs and resistance (E-01)</t>
  </si>
  <si>
    <t>E-01 results</t>
  </si>
  <si>
    <t>P1-06</t>
  </si>
  <si>
    <t>Document TB6600 switches and verify STEP/DIR behavior (E-02/E-03)</t>
  </si>
  <si>
    <t>E-02/E-03 results</t>
  </si>
  <si>
    <t>P1-07</t>
  </si>
  <si>
    <t>Characterize N20 actuator current (E-05/E-06)</t>
  </si>
  <si>
    <t>E-05/E-06 results</t>
  </si>
  <si>
    <t>P1-08</t>
  </si>
  <si>
    <t>Calibrate load cell and characterize HX711 rate/noise (E-07/E-08)</t>
  </si>
  <si>
    <t>Calibration data</t>
  </si>
  <si>
    <t>P1-09</t>
  </si>
  <si>
    <t>Verify TMAG5273 readings and geometry (E-09)</t>
  </si>
  <si>
    <t>E-09 results</t>
  </si>
  <si>
    <t>P1-10</t>
  </si>
  <si>
    <t>Configure and load-test 6 V buck converter (E-14/E-15)</t>
  </si>
  <si>
    <t>E-14/E-15 results</t>
  </si>
  <si>
    <t>P1-11</t>
  </si>
  <si>
    <t>Complete power budget, fuses, wire gauges, and wiring evidence</t>
  </si>
  <si>
    <t>P1-04,P1-10</t>
  </si>
  <si>
    <t>BOM + wiring table</t>
  </si>
  <si>
    <t>P1-GATE</t>
  </si>
  <si>
    <t>Milestone: electrical characterization gate</t>
  </si>
  <si>
    <t>Phase 1 checklist</t>
  </si>
  <si>
    <t>All compatibility gates resolved</t>
  </si>
  <si>
    <t>P2-01</t>
  </si>
  <si>
    <t>Build or obtain RP23CNC-compatible grblHAL firmware</t>
  </si>
  <si>
    <t>Build record</t>
  </si>
  <si>
    <t>P2-02</t>
  </si>
  <si>
    <t>Archive source commits, board target, plugins, and options</t>
  </si>
  <si>
    <t>Firmware README</t>
  </si>
  <si>
    <t>P2-03</t>
  </si>
  <si>
    <t>Flash board and verify USB/Ethernet communication (F-01)</t>
  </si>
  <si>
    <t>F-01 result</t>
  </si>
  <si>
    <t>P2-04</t>
  </si>
  <si>
    <t>Verify converter parser subset and unpowered STEP/DIR (F-02/F-03)</t>
  </si>
  <si>
    <t>F-02/F-03 results</t>
  </si>
  <si>
    <t>P2-05</t>
  </si>
  <si>
    <t>Verify limit inputs, M3/M5 output, and settings persistence (F-04/F-05/F-06)</t>
  </si>
  <si>
    <t>F-04 to F-06 results</t>
  </si>
  <si>
    <t>P2-GATE</t>
  </si>
  <si>
    <t>Milestone: controller baseline gate</t>
  </si>
  <si>
    <t>Phase 2 checklist</t>
  </si>
  <si>
    <t>P3-01</t>
  </si>
  <si>
    <t>Configure one TB6600 and connect motor without mechanics</t>
  </si>
  <si>
    <t>Configuration record</t>
  </si>
  <si>
    <t>P3-02</t>
  </si>
  <si>
    <t>Complete low-speed jog and temperature test (M-01)</t>
  </si>
  <si>
    <t>M-01 result</t>
  </si>
  <si>
    <t>P3-03</t>
  </si>
  <si>
    <t>Ramp rate/acceleration and set conservative margin (M-02)</t>
  </si>
  <si>
    <t>M-02 result</t>
  </si>
  <si>
    <t>P3-04</t>
  </si>
  <si>
    <t>Install and verify home/limit switch</t>
  </si>
  <si>
    <t>Switch test</t>
  </si>
  <si>
    <t>P3-GATE</t>
  </si>
  <si>
    <t>Milestone: single-axis motion gate</t>
  </si>
  <si>
    <t>Phase 3 checklist</t>
  </si>
  <si>
    <t>P4-01</t>
  </si>
  <si>
    <t>Bring up X, Y, and A motors and drivers</t>
  </si>
  <si>
    <t>Bring-up notes</t>
  </si>
  <si>
    <t>P4-02</t>
  </si>
  <si>
    <t>Calibrate X/Y steps per mm and A motor degrees (M-03/M-04)</t>
  </si>
  <si>
    <t>M-03/M-04 results</t>
  </si>
  <si>
    <t>P4-03</t>
  </si>
  <si>
    <t>Verify 12:1 bed ratio and tune rates/acceleration (M-05)</t>
  </si>
  <si>
    <t>M-05 result</t>
  </si>
  <si>
    <t>P4-04</t>
  </si>
  <si>
    <t>Add homing and soft limits (M-07)</t>
  </si>
  <si>
    <t>M-07 result</t>
  </si>
  <si>
    <t>P4-05</t>
  </si>
  <si>
    <t>Run coordinated tests and converter sample without tool (M-06)</t>
  </si>
  <si>
    <t>M-06 result + G-code</t>
  </si>
  <si>
    <t>P4-GATE</t>
  </si>
  <si>
    <t>Milestone: three-axis motion gate</t>
  </si>
  <si>
    <t>Phase 4 checklist</t>
  </si>
  <si>
    <t>P5-01</t>
  </si>
  <si>
    <t>Finalize toolhead controller placement</t>
  </si>
  <si>
    <t>ADR update</t>
  </si>
  <si>
    <t>P5-02</t>
  </si>
  <si>
    <t>Verify actuator direction and safe travel (T-01)</t>
  </si>
  <si>
    <t>T-01 result</t>
  </si>
  <si>
    <t>P5-03</t>
  </si>
  <si>
    <t>Implement BOOT/LIFT/SEEK/HOLD/FAULT state machine</t>
  </si>
  <si>
    <t>Firmware commit</t>
  </si>
  <si>
    <t>P5-04</t>
  </si>
  <si>
    <t>Add travel, timeout, sensor, and force-limit faults</t>
  </si>
  <si>
    <t>Firmware tests</t>
  </si>
  <si>
    <t>P5-05</t>
  </si>
  <si>
    <t>Characterize backlash and implement contact seek (T-02)</t>
  </si>
  <si>
    <t>T-02 result</t>
  </si>
  <si>
    <t>P5-06</t>
  </si>
  <si>
    <t>Implement and tune force control (T-03)</t>
  </si>
  <si>
    <t>T-03 data + firmware</t>
  </si>
  <si>
    <t>P5-07</t>
  </si>
  <si>
    <t>Verify missing-paper, overforce, and disconnect faults (T-04 to T-06)</t>
  </si>
  <si>
    <t>T-04 to T-06 results</t>
  </si>
  <si>
    <t>P5-GATE</t>
  </si>
  <si>
    <t>Milestone: toolhead bench-loop gate</t>
  </si>
  <si>
    <t>Phase 5 checklist</t>
  </si>
  <si>
    <t>P6-01</t>
  </si>
  <si>
    <t>Connect grblHAL M3/M5 to toolhead ENGAGE/LIFT</t>
  </si>
  <si>
    <t>P4-GATE,P5-GATE</t>
  </si>
  <si>
    <t>Interface test</t>
  </si>
  <si>
    <t>P6-02</t>
  </si>
  <si>
    <t>Verify reset/E-stop safety and G4 dwell timing</t>
  </si>
  <si>
    <t>Safety test</t>
  </si>
  <si>
    <t>P6-03</t>
  </si>
  <si>
    <t>Check toolhead workload for lost steps or jitter</t>
  </si>
  <si>
    <t>Timing measurements</t>
  </si>
  <si>
    <t>P6-04</t>
  </si>
  <si>
    <t>Complete calibration and theta-heavy drawings</t>
  </si>
  <si>
    <t>Drawings + photos</t>
  </si>
  <si>
    <t>P6-GATE</t>
  </si>
  <si>
    <t>Milestone: system integration gate</t>
  </si>
  <si>
    <t>Phase 6 checklist</t>
  </si>
  <si>
    <t>P7-01</t>
  </si>
  <si>
    <t>Measure calibration-pattern dimensions and execution time</t>
  </si>
  <si>
    <t>Measurement tables</t>
  </si>
  <si>
    <t>P7-02</t>
  </si>
  <si>
    <t>Record force error during straight, curved, and rotating moves</t>
  </si>
  <si>
    <t>Force plots</t>
  </si>
  <si>
    <t>P7-03</t>
  </si>
  <si>
    <t>Photograph final wiring/mechanics and archive firmware/settings</t>
  </si>
  <si>
    <t>Photos + build archive</t>
  </si>
  <si>
    <t>P7-04</t>
  </si>
  <si>
    <t>Document results, failures, limitations, and future work</t>
  </si>
  <si>
    <t>Report draft</t>
  </si>
  <si>
    <t>P7-05</t>
  </si>
  <si>
    <t>Complete and export Systems Integration report</t>
  </si>
  <si>
    <t>Final report</t>
  </si>
  <si>
    <t>P7-GATE</t>
  </si>
  <si>
    <t>Milestone: project validation and report complete</t>
  </si>
  <si>
    <t>Phase 7 checklist</t>
  </si>
  <si>
    <t>Low</t>
  </si>
  <si>
    <t>Shared</t>
  </si>
  <si>
    <t>XYTheta Pen Plotter Project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</si>
</sst>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 d"/>
  </numFmts>
  <fonts count="8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243447"/>
      <name val="Carlito"/>
    </font>
    <font>
      <sz val="11"/>
      <color rgb="FF243447"/>
      <name val="Carlito"/>
    </font>
    <font>
      <sz val="10"/>
      <color rgb="FF243447"/>
      <name val="Carlito"/>
    </font>
    <font>
      <b/>
      <sz val="9"/>
      <color rgb="FFFFFFFF"/>
      <name val="Carlito"/>
    </font>
    <font>
      <b/>
      <sz val="18"/>
      <color rgb="FF17324D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F3F5F7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70AD47"/>
      </patternFill>
    </fill>
  </fills>
  <borders count="7">
    <border>
      <left/>
      <right/>
      <top/>
      <bottom/>
      <diagonal/>
    </border>
    <border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  <border>
      <left style="thin">
        <color rgb="FF49647D"/>
      </left>
      <right style="thin">
        <color rgb="FF49647D"/>
      </right>
      <top style="thin">
        <color rgb="FF49647D"/>
      </top>
      <bottom style="thin">
        <color rgb="FF49647D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D5DCE3"/>
      </left>
      <right/>
      <top style="thin">
        <color rgb="FFD5DCE3"/>
      </top>
      <bottom style="thin">
        <color rgb="FFD5DCE3"/>
      </bottom>
      <diagonal/>
    </border>
    <border>
      <left/>
      <right/>
      <top style="thin">
        <color rgb="FFD5DCE3"/>
      </top>
      <bottom style="thin">
        <color rgb="FFD5DCE3"/>
      </bottom>
      <diagonal/>
    </border>
    <border>
      <left/>
      <right style="thin">
        <color rgb="FFD5DCE3"/>
      </right>
      <top style="thin">
        <color rgb="FFD5DCE3"/>
      </top>
      <bottom style="thin">
        <color rgb="FFD5DCE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0" borderId="1" xfId="0" applyBorder="1"/>
    <xf numFmtId="0" fontId="1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0" fontId="0" fillId="6" borderId="3" xfId="0" applyFill="1" applyBorder="1"/>
    <xf numFmtId="0" fontId="1" fillId="5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/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/>
    <xf numFmtId="0" fontId="1" fillId="5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" fillId="5" borderId="0" xfId="0" applyFont="1" applyFill="1"/>
    <xf numFmtId="0" fontId="4" fillId="4" borderId="1" xfId="0" applyFont="1" applyFill="1" applyBorder="1" applyAlignment="1">
      <alignment vertical="top" wrapText="1"/>
    </xf>
    <xf numFmtId="0" fontId="1" fillId="2" borderId="0" xfId="0" applyFont="1" applyFill="1"/>
    <xf numFmtId="0" fontId="0" fillId="2" borderId="0" xfId="0" applyFill="1"/>
    <xf numFmtId="0" fontId="3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8">
    <dxf>
      <fill>
        <patternFill patternType="solid">
          <bgColor rgb="FF8064A2"/>
        </patternFill>
      </fill>
      <border>
        <top style="medium">
          <color rgb="FF8064A2"/>
        </top>
        <bottom style="medium">
          <color rgb="FF8064A2"/>
        </bottom>
      </border>
    </dxf>
    <dxf>
      <fill>
        <patternFill patternType="solid">
          <bgColor rgb="FF70AD47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ED7D31"/>
        </patternFill>
      </fill>
    </dxf>
    <dxf>
      <fill>
        <patternFill patternType="solid">
          <bgColor rgb="FF2F75B5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Tasks by Phase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invertIfNegative val="1"/>
          <c:cat>
            <c:strRef>
              <c:f>Dashboard!$A$8:$A$15</c:f>
              <c:strCache>
                <c:ptCount val="8"/>
                <c:pt idx="0">
                  <c:v>Phase 0 - Repository</c:v>
                </c:pt>
                <c:pt idx="1">
                  <c:v>Phase 1 - Electrical</c:v>
                </c:pt>
                <c:pt idx="2">
                  <c:v>Phase 2 - Controller</c:v>
                </c:pt>
                <c:pt idx="3">
                  <c:v>Phase 3 - Single Axis</c:v>
                </c:pt>
                <c:pt idx="4">
                  <c:v>Phase 4 - Three Axis</c:v>
                </c:pt>
                <c:pt idx="5">
                  <c:v>Phase 5 - Toolhead</c:v>
                </c:pt>
                <c:pt idx="6">
                  <c:v>Phase 6 - Integration</c:v>
                </c:pt>
                <c:pt idx="7">
                  <c:v>Phase 7 - Validation</c:v>
                </c:pt>
              </c:strCache>
            </c:strRef>
          </c:cat>
          <c:val>
            <c:numRef>
              <c:f>Dashboard!$B$8:$B$15</c:f>
              <c:numCache>
                <c:formatCode>General</c:formatCode>
                <c:ptCount val="8"/>
                <c:pt idx="0">
                  <c:v>1</c:v>
                </c:pt>
                <c:pt idx="1">
                  <c:v>12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C-4D01-91A4-446E18FE6CA7}"/>
            </c:ext>
          </c:extLst>
        </c:ser>
        <c:ser>
          <c:idx val="1"/>
          <c:order val="1"/>
          <c:tx>
            <c:v>Complete</c:v>
          </c:tx>
          <c:invertIfNegative val="1"/>
          <c:cat>
            <c:strRef>
              <c:f>Dashboard!$A$8:$A$15</c:f>
              <c:strCache>
                <c:ptCount val="8"/>
                <c:pt idx="0">
                  <c:v>Phase 0 - Repository</c:v>
                </c:pt>
                <c:pt idx="1">
                  <c:v>Phase 1 - Electrical</c:v>
                </c:pt>
                <c:pt idx="2">
                  <c:v>Phase 2 - Controller</c:v>
                </c:pt>
                <c:pt idx="3">
                  <c:v>Phase 3 - Single Axis</c:v>
                </c:pt>
                <c:pt idx="4">
                  <c:v>Phase 4 - Three Axis</c:v>
                </c:pt>
                <c:pt idx="5">
                  <c:v>Phase 5 - Toolhead</c:v>
                </c:pt>
                <c:pt idx="6">
                  <c:v>Phase 6 - Integration</c:v>
                </c:pt>
                <c:pt idx="7">
                  <c:v>Phase 7 - Validation</c:v>
                </c:pt>
              </c:strCache>
            </c:strRef>
          </c:cat>
          <c:val>
            <c:numRef>
              <c:f>Dashboard!$C$8:$C$15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C-4D01-91A4-446E18FE6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asks" displayName="ProjectTasks" ref="A6:M55">
  <tableColumns count="13">
    <tableColumn id="1" xr3:uid="{00000000-0010-0000-0000-000001000000}" name="ID"/>
    <tableColumn id="2" xr3:uid="{00000000-0010-0000-0000-000002000000}" name="Phase"/>
    <tableColumn id="3" xr3:uid="{00000000-0010-0000-0000-000003000000}" name="Task"/>
    <tableColumn id="4" xr3:uid="{00000000-0010-0000-0000-000004000000}" name="Owner"/>
    <tableColumn id="5" xr3:uid="{00000000-0010-0000-0000-000005000000}" name="Status"/>
    <tableColumn id="6" xr3:uid="{00000000-0010-0000-0000-000006000000}" name="Priority"/>
    <tableColumn id="7" xr3:uid="{00000000-0010-0000-0000-000007000000}" name="Duration"/>
    <tableColumn id="8" xr3:uid="{00000000-0010-0000-0000-000008000000}" name="Start"/>
    <tableColumn id="9" xr3:uid="{00000000-0010-0000-0000-000009000000}" name="End"/>
    <tableColumn id="10" xr3:uid="{00000000-0010-0000-0000-00000A000000}" name="Progress"/>
    <tableColumn id="11" xr3:uid="{00000000-0010-0000-0000-00000B000000}" name="Predecessor"/>
    <tableColumn id="12" xr3:uid="{00000000-0010-0000-0000-00000C000000}" name="Evidence / Exit Proof"/>
    <tableColumn id="13" xr3:uid="{00000000-0010-0000-00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showGridLines="0" tabSelected="1" workbookViewId="0">
      <selection sqref="A1:L1"/>
    </sheetView>
  </sheetViews>
  <sheetFormatPr defaultRowHeight="14.25"/>
  <cols>
    <col min="1" max="4" width="20" customWidth="1"/>
    <col min="5" max="6" width="16" customWidth="1"/>
    <col min="7" max="12" width="14" customWidth="1"/>
  </cols>
  <sheetData>
    <row r="1" spans="1:12" ht="33.950000000000003" customHeight="1">
      <c r="A1" s="20" t="s">
        <v>195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>
      <c r="A2" s="22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15">
      <c r="A4" s="23" t="s">
        <v>1</v>
      </c>
      <c r="B4" s="23"/>
      <c r="D4" s="23" t="s">
        <v>2</v>
      </c>
      <c r="E4" s="23"/>
      <c r="G4" s="23" t="s">
        <v>3</v>
      </c>
      <c r="H4" s="23"/>
      <c r="J4" s="23" t="s">
        <v>4</v>
      </c>
      <c r="K4" s="23"/>
    </row>
    <row r="5" spans="1:12" ht="23.25">
      <c r="A5" s="24">
        <f>COUNTA(Gantt!$A$7:$A$55)</f>
        <v>49</v>
      </c>
      <c r="B5" s="25"/>
      <c r="C5" s="13"/>
      <c r="D5" s="25">
        <f>COUNTIF(Gantt!$E$7:$E$55,"Complete")</f>
        <v>1</v>
      </c>
      <c r="E5" s="25"/>
      <c r="F5" s="13"/>
      <c r="G5" s="25">
        <f>COUNTIF(Gantt!$E$7:$E$55,"In Progress")</f>
        <v>0</v>
      </c>
      <c r="H5" s="25"/>
      <c r="I5" s="13"/>
      <c r="J5" s="25">
        <f>COUNTIF(Gantt!$E$7:$E$55,"Blocked")</f>
        <v>0</v>
      </c>
      <c r="K5" s="26"/>
    </row>
    <row r="7" spans="1:12" ht="15">
      <c r="A7" s="14" t="s">
        <v>5</v>
      </c>
      <c r="B7" s="14" t="s">
        <v>6</v>
      </c>
      <c r="C7" s="14" t="s">
        <v>7</v>
      </c>
      <c r="D7" s="14" t="s">
        <v>8</v>
      </c>
    </row>
    <row r="8" spans="1:12">
      <c r="A8" s="15" t="s">
        <v>9</v>
      </c>
      <c r="B8" s="15">
        <f>COUNTIF(Gantt!$B$7:$B$55,A8)</f>
        <v>1</v>
      </c>
      <c r="C8" s="15">
        <f>COUNTIFS(Gantt!$B$7:$B$55,A8,Gantt!$E$7:$E$55,"Complete")</f>
        <v>1</v>
      </c>
      <c r="D8" s="16">
        <f>IFERROR(AVERAGEIF(Gantt!$B$7:$B$55,A8,Gantt!$J$7:$J$55),0)</f>
        <v>1</v>
      </c>
    </row>
    <row r="9" spans="1:12">
      <c r="A9" s="15" t="s">
        <v>10</v>
      </c>
      <c r="B9" s="15">
        <f>COUNTIF(Gantt!$B$7:$B$55,A9)</f>
        <v>12</v>
      </c>
      <c r="C9" s="15">
        <f>COUNTIFS(Gantt!$B$7:$B$55,A9,Gantt!$E$7:$E$55,"Complete")</f>
        <v>0</v>
      </c>
      <c r="D9" s="16">
        <f>IFERROR(AVERAGEIF(Gantt!$B$7:$B$55,A9,Gantt!$J$7:$J$55),0)</f>
        <v>0</v>
      </c>
    </row>
    <row r="10" spans="1:12">
      <c r="A10" s="15" t="s">
        <v>11</v>
      </c>
      <c r="B10" s="15">
        <f>COUNTIF(Gantt!$B$7:$B$55,A10)</f>
        <v>6</v>
      </c>
      <c r="C10" s="15">
        <f>COUNTIFS(Gantt!$B$7:$B$55,A10,Gantt!$E$7:$E$55,"Complete")</f>
        <v>0</v>
      </c>
      <c r="D10" s="16">
        <f>IFERROR(AVERAGEIF(Gantt!$B$7:$B$55,A10,Gantt!$J$7:$J$55),0)</f>
        <v>0</v>
      </c>
    </row>
    <row r="11" spans="1:12">
      <c r="A11" s="15" t="s">
        <v>12</v>
      </c>
      <c r="B11" s="15">
        <f>COUNTIF(Gantt!$B$7:$B$55,A11)</f>
        <v>5</v>
      </c>
      <c r="C11" s="15">
        <f>COUNTIFS(Gantt!$B$7:$B$55,A11,Gantt!$E$7:$E$55,"Complete")</f>
        <v>0</v>
      </c>
      <c r="D11" s="16">
        <f>IFERROR(AVERAGEIF(Gantt!$B$7:$B$55,A11,Gantt!$J$7:$J$55),0)</f>
        <v>0</v>
      </c>
    </row>
    <row r="12" spans="1:12">
      <c r="A12" s="15" t="s">
        <v>13</v>
      </c>
      <c r="B12" s="15">
        <f>COUNTIF(Gantt!$B$7:$B$55,A12)</f>
        <v>6</v>
      </c>
      <c r="C12" s="15">
        <f>COUNTIFS(Gantt!$B$7:$B$55,A12,Gantt!$E$7:$E$55,"Complete")</f>
        <v>0</v>
      </c>
      <c r="D12" s="16">
        <f>IFERROR(AVERAGEIF(Gantt!$B$7:$B$55,A12,Gantt!$J$7:$J$55),0)</f>
        <v>0</v>
      </c>
    </row>
    <row r="13" spans="1:12">
      <c r="A13" s="15" t="s">
        <v>14</v>
      </c>
      <c r="B13" s="15">
        <f>COUNTIF(Gantt!$B$7:$B$55,A13)</f>
        <v>8</v>
      </c>
      <c r="C13" s="15">
        <f>COUNTIFS(Gantt!$B$7:$B$55,A13,Gantt!$E$7:$E$55,"Complete")</f>
        <v>0</v>
      </c>
      <c r="D13" s="16">
        <f>IFERROR(AVERAGEIF(Gantt!$B$7:$B$55,A13,Gantt!$J$7:$J$55),0)</f>
        <v>0</v>
      </c>
    </row>
    <row r="14" spans="1:12">
      <c r="A14" s="15" t="s">
        <v>15</v>
      </c>
      <c r="B14" s="15">
        <f>COUNTIF(Gantt!$B$7:$B$55,A14)</f>
        <v>5</v>
      </c>
      <c r="C14" s="15">
        <f>COUNTIFS(Gantt!$B$7:$B$55,A14,Gantt!$E$7:$E$55,"Complete")</f>
        <v>0</v>
      </c>
      <c r="D14" s="16">
        <f>IFERROR(AVERAGEIF(Gantt!$B$7:$B$55,A14,Gantt!$J$7:$J$55),0)</f>
        <v>0</v>
      </c>
    </row>
    <row r="15" spans="1:12">
      <c r="A15" s="15" t="s">
        <v>16</v>
      </c>
      <c r="B15" s="15">
        <f>COUNTIF(Gantt!$B$7:$B$55,A15)</f>
        <v>6</v>
      </c>
      <c r="C15" s="15">
        <f>COUNTIFS(Gantt!$B$7:$B$55,A15,Gantt!$E$7:$E$55,"Complete")</f>
        <v>0</v>
      </c>
      <c r="D15" s="16">
        <f>IFERROR(AVERAGEIF(Gantt!$B$7:$B$55,A15,Gantt!$J$7:$J$55),0)</f>
        <v>0</v>
      </c>
    </row>
    <row r="18" spans="1:6" ht="15">
      <c r="A18" s="27" t="s">
        <v>17</v>
      </c>
      <c r="B18" s="21"/>
      <c r="C18" s="21"/>
      <c r="D18" s="21"/>
      <c r="E18" s="21"/>
      <c r="F18" s="21"/>
    </row>
    <row r="19" spans="1:6" ht="24" customHeight="1">
      <c r="A19" s="28" t="s">
        <v>18</v>
      </c>
      <c r="B19" s="21"/>
      <c r="C19" s="21"/>
      <c r="D19" s="21"/>
      <c r="E19" s="21"/>
      <c r="F19" s="21"/>
    </row>
    <row r="20" spans="1:6" ht="24" customHeight="1">
      <c r="A20" s="21"/>
      <c r="B20" s="21"/>
      <c r="C20" s="21"/>
      <c r="D20" s="21"/>
      <c r="E20" s="21"/>
      <c r="F20" s="21"/>
    </row>
    <row r="21" spans="1:6" ht="24" customHeight="1">
      <c r="A21" s="21"/>
      <c r="B21" s="21"/>
      <c r="C21" s="21"/>
      <c r="D21" s="21"/>
      <c r="E21" s="21"/>
      <c r="F21" s="21"/>
    </row>
    <row r="22" spans="1:6" ht="24" customHeight="1">
      <c r="A22" s="21"/>
      <c r="B22" s="21"/>
      <c r="C22" s="21"/>
      <c r="D22" s="21"/>
      <c r="E22" s="21"/>
      <c r="F22" s="21"/>
    </row>
    <row r="24" spans="1:6" ht="15">
      <c r="A24" s="29" t="s">
        <v>19</v>
      </c>
      <c r="B24" s="21"/>
      <c r="C24" s="21"/>
      <c r="D24" s="21"/>
      <c r="E24" s="21"/>
      <c r="F24" s="21"/>
    </row>
    <row r="25" spans="1:6" ht="15">
      <c r="A25" s="12" t="s">
        <v>20</v>
      </c>
      <c r="B25" s="17" t="s">
        <v>21</v>
      </c>
      <c r="C25" s="18" t="s">
        <v>22</v>
      </c>
      <c r="D25" s="19" t="s">
        <v>7</v>
      </c>
    </row>
  </sheetData>
  <mergeCells count="13">
    <mergeCell ref="A19:F22"/>
    <mergeCell ref="A24:F24"/>
    <mergeCell ref="A5:B5"/>
    <mergeCell ref="D5:E5"/>
    <mergeCell ref="G5:H5"/>
    <mergeCell ref="J5:K5"/>
    <mergeCell ref="A18:F18"/>
    <mergeCell ref="A1:L1"/>
    <mergeCell ref="A2:L2"/>
    <mergeCell ref="A4:B4"/>
    <mergeCell ref="D4:E4"/>
    <mergeCell ref="G4:H4"/>
    <mergeCell ref="J4:K4"/>
  </mergeCells>
  <conditionalFormatting sqref="D8:D15">
    <cfRule type="dataBar" priority="1">
      <dataBar>
        <cfvo type="min"/>
        <cfvo type="max"/>
        <color rgb="FF2F75B5"/>
      </dataBar>
    </cfRule>
    <cfRule type="dataBar" priority="2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D8:D15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5"/>
  <sheetViews>
    <sheetView showGridLines="0" workbookViewId="0">
      <selection sqref="A1:M1"/>
    </sheetView>
  </sheetViews>
  <sheetFormatPr defaultRowHeight="14.25"/>
  <cols>
    <col min="1" max="1" width="12" customWidth="1"/>
    <col min="2" max="2" width="23" customWidth="1"/>
    <col min="3" max="3" width="52" customWidth="1"/>
    <col min="4" max="4" width="16" customWidth="1"/>
    <col min="5" max="5" width="15" customWidth="1"/>
    <col min="6" max="6" width="11" customWidth="1"/>
    <col min="7" max="7" width="10" customWidth="1"/>
    <col min="8" max="9" width="12" customWidth="1"/>
    <col min="10" max="10" width="11" customWidth="1"/>
    <col min="11" max="11" width="18" customWidth="1"/>
    <col min="12" max="12" width="25" customWidth="1"/>
    <col min="13" max="13" width="26" customWidth="1"/>
    <col min="14" max="44" width="10" customWidth="1"/>
  </cols>
  <sheetData>
    <row r="1" spans="1:53" ht="32.1" customHeight="1">
      <c r="A1" s="20" t="s">
        <v>23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31" t="s">
        <v>24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53">
      <c r="A3" s="32" t="s">
        <v>25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6" spans="1:53" ht="33.950000000000003" customHeight="1">
      <c r="A6" s="4" t="s">
        <v>26</v>
      </c>
      <c r="B6" s="4" t="s">
        <v>5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  <c r="L6" s="4" t="s">
        <v>36</v>
      </c>
      <c r="M6" s="4" t="s">
        <v>37</v>
      </c>
      <c r="N6" s="10">
        <v>46174.708333333336</v>
      </c>
      <c r="O6" s="10">
        <v>46181.708333333336</v>
      </c>
      <c r="P6" s="10">
        <v>46188.708333333336</v>
      </c>
      <c r="Q6" s="10">
        <v>46195.708333333336</v>
      </c>
      <c r="R6" s="10">
        <v>46202.708333333336</v>
      </c>
      <c r="S6" s="10">
        <v>46209.708333333336</v>
      </c>
      <c r="T6" s="10">
        <v>46216.708333333336</v>
      </c>
      <c r="U6" s="10">
        <v>46223.708333333336</v>
      </c>
      <c r="V6" s="10">
        <v>46230.708333333336</v>
      </c>
      <c r="W6" s="10">
        <v>46237.708333333336</v>
      </c>
      <c r="X6" s="10">
        <v>46244.708333333336</v>
      </c>
      <c r="Y6" s="10">
        <v>46251.708333333336</v>
      </c>
      <c r="Z6" s="10">
        <v>46258.708333333336</v>
      </c>
      <c r="AA6" s="10">
        <v>46265.708333333336</v>
      </c>
      <c r="AB6" s="10">
        <v>46272.708333333336</v>
      </c>
      <c r="AC6" s="10">
        <v>46279.708333333336</v>
      </c>
      <c r="AD6" s="10">
        <v>46286.708333333336</v>
      </c>
      <c r="AE6" s="10">
        <v>46293.708333333336</v>
      </c>
      <c r="AF6" s="10">
        <v>46300.708333333336</v>
      </c>
      <c r="AG6" s="10">
        <v>46307.708333333336</v>
      </c>
      <c r="AH6" s="10">
        <v>46314.708333333336</v>
      </c>
      <c r="AI6" s="10">
        <v>46321.708333333336</v>
      </c>
      <c r="AJ6" s="10">
        <v>46328.75</v>
      </c>
      <c r="AK6" s="10">
        <v>46335.75</v>
      </c>
      <c r="AL6" s="10">
        <v>46342.75</v>
      </c>
      <c r="AM6" s="10">
        <v>46349.75</v>
      </c>
      <c r="AN6" s="10">
        <v>46356.75</v>
      </c>
      <c r="AO6" s="10">
        <v>46363.75</v>
      </c>
      <c r="AP6" s="10">
        <v>46370.75</v>
      </c>
      <c r="AQ6" s="10">
        <v>46377.75</v>
      </c>
      <c r="AR6" s="10">
        <v>46384.75</v>
      </c>
    </row>
    <row r="7" spans="1:53" ht="32.1" customHeight="1">
      <c r="A7" s="5" t="s">
        <v>38</v>
      </c>
      <c r="B7" s="6" t="s">
        <v>9</v>
      </c>
      <c r="C7" s="6" t="s">
        <v>39</v>
      </c>
      <c r="D7" s="7" t="s">
        <v>40</v>
      </c>
      <c r="E7" s="7" t="s">
        <v>7</v>
      </c>
      <c r="F7" s="7" t="s">
        <v>41</v>
      </c>
      <c r="G7" s="7">
        <v>5</v>
      </c>
      <c r="H7" s="8">
        <v>46174.708333333336</v>
      </c>
      <c r="I7" s="8">
        <f t="shared" ref="I7:I38" si="0">IF(OR(H7="",G7=""),"",H7+G7-1)</f>
        <v>46178.708333333336</v>
      </c>
      <c r="J7" s="9">
        <v>1</v>
      </c>
      <c r="K7" s="6"/>
      <c r="L7" s="6" t="s">
        <v>42</v>
      </c>
      <c r="M7" s="6" t="s">
        <v>43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 spans="1:53" ht="32.1" customHeight="1">
      <c r="A8" s="5" t="s">
        <v>44</v>
      </c>
      <c r="B8" s="6" t="s">
        <v>10</v>
      </c>
      <c r="C8" s="6" t="s">
        <v>45</v>
      </c>
      <c r="D8" s="7" t="s">
        <v>46</v>
      </c>
      <c r="E8" s="7" t="s">
        <v>20</v>
      </c>
      <c r="F8" s="7" t="s">
        <v>41</v>
      </c>
      <c r="G8" s="7">
        <v>2</v>
      </c>
      <c r="H8" s="8">
        <v>46188.708333333336</v>
      </c>
      <c r="I8" s="8">
        <f t="shared" si="0"/>
        <v>46189.708333333336</v>
      </c>
      <c r="J8" s="9">
        <v>0</v>
      </c>
      <c r="K8" s="6"/>
      <c r="L8" s="6" t="s">
        <v>47</v>
      </c>
      <c r="M8" s="6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 spans="1:53" ht="32.1" customHeight="1">
      <c r="A9" s="5" t="s">
        <v>48</v>
      </c>
      <c r="B9" s="6" t="s">
        <v>10</v>
      </c>
      <c r="C9" s="6" t="s">
        <v>49</v>
      </c>
      <c r="D9" s="7" t="s">
        <v>46</v>
      </c>
      <c r="E9" s="7" t="s">
        <v>20</v>
      </c>
      <c r="F9" s="7" t="s">
        <v>41</v>
      </c>
      <c r="G9" s="7">
        <v>4</v>
      </c>
      <c r="H9" s="8">
        <v>46190.708333333336</v>
      </c>
      <c r="I9" s="8">
        <f t="shared" si="0"/>
        <v>46193.708333333336</v>
      </c>
      <c r="J9" s="9">
        <v>0</v>
      </c>
      <c r="K9" s="6" t="s">
        <v>44</v>
      </c>
      <c r="L9" s="6" t="s">
        <v>50</v>
      </c>
      <c r="M9" s="6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1:53" ht="32.1" customHeight="1">
      <c r="A10" s="5" t="s">
        <v>51</v>
      </c>
      <c r="B10" s="6" t="s">
        <v>10</v>
      </c>
      <c r="C10" s="6" t="s">
        <v>52</v>
      </c>
      <c r="D10" s="7" t="s">
        <v>46</v>
      </c>
      <c r="E10" s="7" t="s">
        <v>20</v>
      </c>
      <c r="F10" s="7" t="s">
        <v>53</v>
      </c>
      <c r="G10" s="7">
        <v>2</v>
      </c>
      <c r="H10" s="8">
        <v>46190.708333333336</v>
      </c>
      <c r="I10" s="8">
        <f t="shared" si="0"/>
        <v>46191.708333333336</v>
      </c>
      <c r="J10" s="9">
        <v>0</v>
      </c>
      <c r="K10" s="6" t="s">
        <v>44</v>
      </c>
      <c r="L10" s="6" t="s">
        <v>54</v>
      </c>
      <c r="M10" s="6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53" ht="32.1" customHeight="1">
      <c r="A11" s="5" t="s">
        <v>55</v>
      </c>
      <c r="B11" s="6" t="s">
        <v>10</v>
      </c>
      <c r="C11" s="6" t="s">
        <v>56</v>
      </c>
      <c r="D11" s="7" t="s">
        <v>46</v>
      </c>
      <c r="E11" s="7" t="s">
        <v>20</v>
      </c>
      <c r="F11" s="7" t="s">
        <v>41</v>
      </c>
      <c r="G11" s="7">
        <v>2</v>
      </c>
      <c r="H11" s="8">
        <v>46195.708333333336</v>
      </c>
      <c r="I11" s="8">
        <f t="shared" si="0"/>
        <v>46196.708333333336</v>
      </c>
      <c r="J11" s="9">
        <v>0</v>
      </c>
      <c r="K11" s="6" t="s">
        <v>48</v>
      </c>
      <c r="L11" s="6" t="s">
        <v>57</v>
      </c>
      <c r="M11" s="6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53" ht="32.1" customHeight="1">
      <c r="A12" s="5" t="s">
        <v>58</v>
      </c>
      <c r="B12" s="6" t="s">
        <v>10</v>
      </c>
      <c r="C12" s="6" t="s">
        <v>59</v>
      </c>
      <c r="D12" s="7" t="s">
        <v>46</v>
      </c>
      <c r="E12" s="7" t="s">
        <v>20</v>
      </c>
      <c r="F12" s="7" t="s">
        <v>41</v>
      </c>
      <c r="G12" s="7">
        <v>1</v>
      </c>
      <c r="H12" s="8">
        <v>46197.708333333336</v>
      </c>
      <c r="I12" s="8">
        <f t="shared" si="0"/>
        <v>46197.708333333336</v>
      </c>
      <c r="J12" s="9">
        <v>0</v>
      </c>
      <c r="K12" s="6" t="s">
        <v>55</v>
      </c>
      <c r="L12" s="6" t="s">
        <v>60</v>
      </c>
      <c r="M12" s="6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53" ht="32.1" customHeight="1">
      <c r="A13" s="5" t="s">
        <v>61</v>
      </c>
      <c r="B13" s="6" t="s">
        <v>10</v>
      </c>
      <c r="C13" s="6" t="s">
        <v>62</v>
      </c>
      <c r="D13" s="7" t="s">
        <v>46</v>
      </c>
      <c r="E13" s="7" t="s">
        <v>20</v>
      </c>
      <c r="F13" s="7" t="s">
        <v>41</v>
      </c>
      <c r="G13" s="7">
        <v>3</v>
      </c>
      <c r="H13" s="8">
        <v>46198.708333333336</v>
      </c>
      <c r="I13" s="8">
        <f t="shared" si="0"/>
        <v>46200.708333333336</v>
      </c>
      <c r="J13" s="9">
        <v>0</v>
      </c>
      <c r="K13" s="6" t="s">
        <v>58</v>
      </c>
      <c r="L13" s="6" t="s">
        <v>63</v>
      </c>
      <c r="M13" s="6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spans="1:53" ht="32.1" customHeight="1">
      <c r="A14" s="5" t="s">
        <v>64</v>
      </c>
      <c r="B14" s="6" t="s">
        <v>10</v>
      </c>
      <c r="C14" s="6" t="s">
        <v>65</v>
      </c>
      <c r="D14" s="7" t="s">
        <v>46</v>
      </c>
      <c r="E14" s="7" t="s">
        <v>20</v>
      </c>
      <c r="F14" s="7" t="s">
        <v>41</v>
      </c>
      <c r="G14" s="7">
        <v>2</v>
      </c>
      <c r="H14" s="8">
        <v>46202.708333333336</v>
      </c>
      <c r="I14" s="8">
        <f t="shared" si="0"/>
        <v>46203.708333333336</v>
      </c>
      <c r="J14" s="9">
        <v>0</v>
      </c>
      <c r="K14" s="6" t="s">
        <v>55</v>
      </c>
      <c r="L14" s="6" t="s">
        <v>66</v>
      </c>
      <c r="M14" s="6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53" ht="32.1" customHeight="1">
      <c r="A15" s="5" t="s">
        <v>67</v>
      </c>
      <c r="B15" s="6" t="s">
        <v>10</v>
      </c>
      <c r="C15" s="6" t="s">
        <v>68</v>
      </c>
      <c r="D15" s="7" t="s">
        <v>46</v>
      </c>
      <c r="E15" s="7" t="s">
        <v>20</v>
      </c>
      <c r="F15" s="7" t="s">
        <v>41</v>
      </c>
      <c r="G15" s="7">
        <v>4</v>
      </c>
      <c r="H15" s="8">
        <v>46204.708333333336</v>
      </c>
      <c r="I15" s="8">
        <f t="shared" si="0"/>
        <v>46207.708333333336</v>
      </c>
      <c r="J15" s="9">
        <v>0</v>
      </c>
      <c r="K15" s="6" t="s">
        <v>64</v>
      </c>
      <c r="L15" s="6" t="s">
        <v>69</v>
      </c>
      <c r="M15" s="6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53" ht="32.1" customHeight="1">
      <c r="A16" s="5" t="s">
        <v>70</v>
      </c>
      <c r="B16" s="6" t="s">
        <v>10</v>
      </c>
      <c r="C16" s="6" t="s">
        <v>71</v>
      </c>
      <c r="D16" s="7" t="s">
        <v>46</v>
      </c>
      <c r="E16" s="7" t="s">
        <v>20</v>
      </c>
      <c r="F16" s="7" t="s">
        <v>53</v>
      </c>
      <c r="G16" s="7">
        <v>2</v>
      </c>
      <c r="H16" s="8">
        <v>46209.708333333336</v>
      </c>
      <c r="I16" s="8">
        <f t="shared" si="0"/>
        <v>46210.708333333336</v>
      </c>
      <c r="J16" s="9">
        <v>0</v>
      </c>
      <c r="K16" s="6" t="s">
        <v>67</v>
      </c>
      <c r="L16" s="6" t="s">
        <v>72</v>
      </c>
      <c r="M16" s="6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spans="1:44" ht="32.1" customHeight="1">
      <c r="A17" s="5" t="s">
        <v>73</v>
      </c>
      <c r="B17" s="6" t="s">
        <v>10</v>
      </c>
      <c r="C17" s="6" t="s">
        <v>74</v>
      </c>
      <c r="D17" s="7" t="s">
        <v>46</v>
      </c>
      <c r="E17" s="7" t="s">
        <v>20</v>
      </c>
      <c r="F17" s="7" t="s">
        <v>41</v>
      </c>
      <c r="G17" s="7">
        <v>3</v>
      </c>
      <c r="H17" s="8">
        <v>46211.708333333336</v>
      </c>
      <c r="I17" s="8">
        <f t="shared" si="0"/>
        <v>46213.708333333336</v>
      </c>
      <c r="J17" s="9">
        <v>0</v>
      </c>
      <c r="K17" s="6" t="s">
        <v>64</v>
      </c>
      <c r="L17" s="6" t="s">
        <v>75</v>
      </c>
      <c r="M17" s="6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32.1" customHeight="1">
      <c r="A18" s="5" t="s">
        <v>76</v>
      </c>
      <c r="B18" s="6" t="s">
        <v>10</v>
      </c>
      <c r="C18" s="6" t="s">
        <v>77</v>
      </c>
      <c r="D18" s="7" t="s">
        <v>46</v>
      </c>
      <c r="E18" s="7" t="s">
        <v>20</v>
      </c>
      <c r="F18" s="7" t="s">
        <v>41</v>
      </c>
      <c r="G18" s="7">
        <v>4</v>
      </c>
      <c r="H18" s="8">
        <v>46216.708333333336</v>
      </c>
      <c r="I18" s="8">
        <f t="shared" si="0"/>
        <v>46219.708333333336</v>
      </c>
      <c r="J18" s="9">
        <v>0</v>
      </c>
      <c r="K18" s="6" t="s">
        <v>78</v>
      </c>
      <c r="L18" s="6" t="s">
        <v>79</v>
      </c>
      <c r="M18" s="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32.1" customHeight="1">
      <c r="A19" s="5" t="s">
        <v>80</v>
      </c>
      <c r="B19" s="6" t="s">
        <v>10</v>
      </c>
      <c r="C19" s="6" t="s">
        <v>81</v>
      </c>
      <c r="D19" s="7" t="s">
        <v>46</v>
      </c>
      <c r="E19" s="7" t="s">
        <v>20</v>
      </c>
      <c r="F19" s="7" t="s">
        <v>41</v>
      </c>
      <c r="G19" s="7">
        <v>1</v>
      </c>
      <c r="H19" s="8">
        <v>46220.708333333336</v>
      </c>
      <c r="I19" s="8">
        <f t="shared" si="0"/>
        <v>46220.708333333336</v>
      </c>
      <c r="J19" s="9">
        <v>0</v>
      </c>
      <c r="K19" s="6" t="s">
        <v>76</v>
      </c>
      <c r="L19" s="6" t="s">
        <v>82</v>
      </c>
      <c r="M19" s="6" t="s">
        <v>83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32.1" customHeight="1">
      <c r="A20" s="5" t="s">
        <v>84</v>
      </c>
      <c r="B20" s="6" t="s">
        <v>11</v>
      </c>
      <c r="C20" s="6" t="s">
        <v>85</v>
      </c>
      <c r="D20" s="7" t="s">
        <v>40</v>
      </c>
      <c r="E20" s="7" t="s">
        <v>20</v>
      </c>
      <c r="F20" s="7" t="s">
        <v>41</v>
      </c>
      <c r="G20" s="7">
        <v>5</v>
      </c>
      <c r="H20" s="8">
        <v>46223.708333333336</v>
      </c>
      <c r="I20" s="8">
        <f t="shared" si="0"/>
        <v>46227.708333333336</v>
      </c>
      <c r="J20" s="9">
        <v>0</v>
      </c>
      <c r="K20" s="6" t="s">
        <v>80</v>
      </c>
      <c r="L20" s="6" t="s">
        <v>86</v>
      </c>
      <c r="M20" s="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32.1" customHeight="1">
      <c r="A21" s="5" t="s">
        <v>87</v>
      </c>
      <c r="B21" s="6" t="s">
        <v>11</v>
      </c>
      <c r="C21" s="6" t="s">
        <v>88</v>
      </c>
      <c r="D21" s="7" t="s">
        <v>40</v>
      </c>
      <c r="E21" s="7" t="s">
        <v>20</v>
      </c>
      <c r="F21" s="7" t="s">
        <v>53</v>
      </c>
      <c r="G21" s="7">
        <v>2</v>
      </c>
      <c r="H21" s="8">
        <v>46226.708333333336</v>
      </c>
      <c r="I21" s="8">
        <f t="shared" si="0"/>
        <v>46227.708333333336</v>
      </c>
      <c r="J21" s="9">
        <v>0</v>
      </c>
      <c r="K21" s="6" t="s">
        <v>84</v>
      </c>
      <c r="L21" s="6" t="s">
        <v>89</v>
      </c>
      <c r="M21" s="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 spans="1:44" ht="32.1" customHeight="1">
      <c r="A22" s="5" t="s">
        <v>90</v>
      </c>
      <c r="B22" s="6" t="s">
        <v>11</v>
      </c>
      <c r="C22" s="6" t="s">
        <v>91</v>
      </c>
      <c r="D22" s="7" t="s">
        <v>46</v>
      </c>
      <c r="E22" s="7" t="s">
        <v>20</v>
      </c>
      <c r="F22" s="7" t="s">
        <v>41</v>
      </c>
      <c r="G22" s="7">
        <v>3</v>
      </c>
      <c r="H22" s="8">
        <v>46230.708333333336</v>
      </c>
      <c r="I22" s="8">
        <f t="shared" si="0"/>
        <v>46232.708333333336</v>
      </c>
      <c r="J22" s="9">
        <v>0</v>
      </c>
      <c r="K22" s="6" t="s">
        <v>84</v>
      </c>
      <c r="L22" s="6" t="s">
        <v>92</v>
      </c>
      <c r="M22" s="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spans="1:44" ht="32.1" customHeight="1">
      <c r="A23" s="5" t="s">
        <v>93</v>
      </c>
      <c r="B23" s="6" t="s">
        <v>11</v>
      </c>
      <c r="C23" s="6" t="s">
        <v>94</v>
      </c>
      <c r="D23" s="7" t="s">
        <v>46</v>
      </c>
      <c r="E23" s="7" t="s">
        <v>20</v>
      </c>
      <c r="F23" s="7" t="s">
        <v>41</v>
      </c>
      <c r="G23" s="7">
        <v>3</v>
      </c>
      <c r="H23" s="8">
        <v>46233.708333333336</v>
      </c>
      <c r="I23" s="8">
        <f t="shared" si="0"/>
        <v>46235.708333333336</v>
      </c>
      <c r="J23" s="9">
        <v>0</v>
      </c>
      <c r="K23" s="6" t="s">
        <v>90</v>
      </c>
      <c r="L23" s="6" t="s">
        <v>95</v>
      </c>
      <c r="M23" s="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 spans="1:44" ht="32.1" customHeight="1">
      <c r="A24" s="5" t="s">
        <v>96</v>
      </c>
      <c r="B24" s="6" t="s">
        <v>11</v>
      </c>
      <c r="C24" s="6" t="s">
        <v>97</v>
      </c>
      <c r="D24" s="7" t="s">
        <v>46</v>
      </c>
      <c r="E24" s="7" t="s">
        <v>20</v>
      </c>
      <c r="F24" s="7" t="s">
        <v>41</v>
      </c>
      <c r="G24" s="7">
        <v>4</v>
      </c>
      <c r="H24" s="8">
        <v>46237.708333333336</v>
      </c>
      <c r="I24" s="8">
        <f t="shared" si="0"/>
        <v>46240.708333333336</v>
      </c>
      <c r="J24" s="9">
        <v>0</v>
      </c>
      <c r="K24" s="6" t="s">
        <v>93</v>
      </c>
      <c r="L24" s="6" t="s">
        <v>98</v>
      </c>
      <c r="M24" s="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 spans="1:44" ht="32.1" customHeight="1">
      <c r="A25" s="5" t="s">
        <v>99</v>
      </c>
      <c r="B25" s="6" t="s">
        <v>11</v>
      </c>
      <c r="C25" s="6" t="s">
        <v>100</v>
      </c>
      <c r="D25" s="7" t="s">
        <v>46</v>
      </c>
      <c r="E25" s="7" t="s">
        <v>20</v>
      </c>
      <c r="F25" s="7" t="s">
        <v>41</v>
      </c>
      <c r="G25" s="7">
        <v>1</v>
      </c>
      <c r="H25" s="8">
        <v>46241.708333333336</v>
      </c>
      <c r="I25" s="8">
        <f t="shared" si="0"/>
        <v>46241.708333333336</v>
      </c>
      <c r="J25" s="9">
        <v>0</v>
      </c>
      <c r="K25" s="6" t="s">
        <v>96</v>
      </c>
      <c r="L25" s="6" t="s">
        <v>101</v>
      </c>
      <c r="M25" s="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</row>
    <row r="26" spans="1:44" ht="32.1" customHeight="1">
      <c r="A26" s="5" t="s">
        <v>102</v>
      </c>
      <c r="B26" s="6" t="s">
        <v>12</v>
      </c>
      <c r="C26" s="6" t="s">
        <v>103</v>
      </c>
      <c r="D26" s="7" t="s">
        <v>46</v>
      </c>
      <c r="E26" s="7" t="s">
        <v>20</v>
      </c>
      <c r="F26" s="7" t="s">
        <v>41</v>
      </c>
      <c r="G26" s="7">
        <v>2</v>
      </c>
      <c r="H26" s="8">
        <v>46244.708333333336</v>
      </c>
      <c r="I26" s="8">
        <f t="shared" si="0"/>
        <v>46245.708333333336</v>
      </c>
      <c r="J26" s="9">
        <v>0</v>
      </c>
      <c r="K26" s="6" t="s">
        <v>99</v>
      </c>
      <c r="L26" s="6" t="s">
        <v>104</v>
      </c>
      <c r="M26" s="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 spans="1:44" ht="32.1" customHeight="1">
      <c r="A27" s="5" t="s">
        <v>105</v>
      </c>
      <c r="B27" s="6" t="s">
        <v>12</v>
      </c>
      <c r="C27" s="6" t="s">
        <v>106</v>
      </c>
      <c r="D27" s="7" t="s">
        <v>46</v>
      </c>
      <c r="E27" s="7" t="s">
        <v>20</v>
      </c>
      <c r="F27" s="7" t="s">
        <v>41</v>
      </c>
      <c r="G27" s="7">
        <v>2</v>
      </c>
      <c r="H27" s="8">
        <v>46246.708333333336</v>
      </c>
      <c r="I27" s="8">
        <f t="shared" si="0"/>
        <v>46247.708333333336</v>
      </c>
      <c r="J27" s="9">
        <v>0</v>
      </c>
      <c r="K27" s="6" t="s">
        <v>102</v>
      </c>
      <c r="L27" s="6" t="s">
        <v>107</v>
      </c>
      <c r="M27" s="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 spans="1:44" ht="32.1" customHeight="1">
      <c r="A28" s="5" t="s">
        <v>108</v>
      </c>
      <c r="B28" s="6" t="s">
        <v>12</v>
      </c>
      <c r="C28" s="6" t="s">
        <v>109</v>
      </c>
      <c r="D28" s="7" t="s">
        <v>46</v>
      </c>
      <c r="E28" s="7" t="s">
        <v>20</v>
      </c>
      <c r="F28" s="7" t="s">
        <v>41</v>
      </c>
      <c r="G28" s="7">
        <v>3</v>
      </c>
      <c r="H28" s="8">
        <v>46248.708333333336</v>
      </c>
      <c r="I28" s="8">
        <f t="shared" si="0"/>
        <v>46250.708333333336</v>
      </c>
      <c r="J28" s="9">
        <v>0</v>
      </c>
      <c r="K28" s="6" t="s">
        <v>105</v>
      </c>
      <c r="L28" s="6" t="s">
        <v>110</v>
      </c>
      <c r="M28" s="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 spans="1:44" ht="32.1" customHeight="1">
      <c r="A29" s="5" t="s">
        <v>111</v>
      </c>
      <c r="B29" s="6" t="s">
        <v>12</v>
      </c>
      <c r="C29" s="6" t="s">
        <v>112</v>
      </c>
      <c r="D29" s="7" t="s">
        <v>46</v>
      </c>
      <c r="E29" s="7" t="s">
        <v>20</v>
      </c>
      <c r="F29" s="7" t="s">
        <v>53</v>
      </c>
      <c r="G29" s="7">
        <v>2</v>
      </c>
      <c r="H29" s="8">
        <v>46253.708333333336</v>
      </c>
      <c r="I29" s="8">
        <f t="shared" si="0"/>
        <v>46254.708333333336</v>
      </c>
      <c r="J29" s="9">
        <v>0</v>
      </c>
      <c r="K29" s="6" t="s">
        <v>108</v>
      </c>
      <c r="L29" s="6" t="s">
        <v>113</v>
      </c>
      <c r="M29" s="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spans="1:44" ht="32.1" customHeight="1">
      <c r="A30" s="5" t="s">
        <v>114</v>
      </c>
      <c r="B30" s="6" t="s">
        <v>12</v>
      </c>
      <c r="C30" s="6" t="s">
        <v>115</v>
      </c>
      <c r="D30" s="7" t="s">
        <v>46</v>
      </c>
      <c r="E30" s="7" t="s">
        <v>20</v>
      </c>
      <c r="F30" s="7" t="s">
        <v>41</v>
      </c>
      <c r="G30" s="7">
        <v>1</v>
      </c>
      <c r="H30" s="8">
        <v>46255.708333333336</v>
      </c>
      <c r="I30" s="8">
        <f t="shared" si="0"/>
        <v>46255.708333333336</v>
      </c>
      <c r="J30" s="9">
        <v>0</v>
      </c>
      <c r="K30" s="6" t="s">
        <v>111</v>
      </c>
      <c r="L30" s="6" t="s">
        <v>116</v>
      </c>
      <c r="M30" s="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spans="1:44" ht="32.1" customHeight="1">
      <c r="A31" s="5" t="s">
        <v>117</v>
      </c>
      <c r="B31" s="6" t="s">
        <v>13</v>
      </c>
      <c r="C31" s="6" t="s">
        <v>118</v>
      </c>
      <c r="D31" s="7" t="s">
        <v>46</v>
      </c>
      <c r="E31" s="7" t="s">
        <v>20</v>
      </c>
      <c r="F31" s="7" t="s">
        <v>41</v>
      </c>
      <c r="G31" s="7">
        <v>4</v>
      </c>
      <c r="H31" s="8">
        <v>46258.708333333336</v>
      </c>
      <c r="I31" s="8">
        <f t="shared" si="0"/>
        <v>46261.708333333336</v>
      </c>
      <c r="J31" s="9">
        <v>0</v>
      </c>
      <c r="K31" s="6" t="s">
        <v>114</v>
      </c>
      <c r="L31" s="6" t="s">
        <v>119</v>
      </c>
      <c r="M31" s="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spans="1:44" ht="32.1" customHeight="1">
      <c r="A32" s="5" t="s">
        <v>120</v>
      </c>
      <c r="B32" s="6" t="s">
        <v>13</v>
      </c>
      <c r="C32" s="6" t="s">
        <v>121</v>
      </c>
      <c r="D32" s="7" t="s">
        <v>46</v>
      </c>
      <c r="E32" s="7" t="s">
        <v>20</v>
      </c>
      <c r="F32" s="7" t="s">
        <v>41</v>
      </c>
      <c r="G32" s="7">
        <v>4</v>
      </c>
      <c r="H32" s="8">
        <v>46262.708333333336</v>
      </c>
      <c r="I32" s="8">
        <f t="shared" si="0"/>
        <v>46265.708333333336</v>
      </c>
      <c r="J32" s="9">
        <v>0</v>
      </c>
      <c r="K32" s="6" t="s">
        <v>117</v>
      </c>
      <c r="L32" s="6" t="s">
        <v>122</v>
      </c>
      <c r="M32" s="6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spans="1:44" ht="32.1" customHeight="1">
      <c r="A33" s="5" t="s">
        <v>123</v>
      </c>
      <c r="B33" s="6" t="s">
        <v>13</v>
      </c>
      <c r="C33" s="6" t="s">
        <v>124</v>
      </c>
      <c r="D33" s="7" t="s">
        <v>46</v>
      </c>
      <c r="E33" s="7" t="s">
        <v>20</v>
      </c>
      <c r="F33" s="7" t="s">
        <v>41</v>
      </c>
      <c r="G33" s="7">
        <v>3</v>
      </c>
      <c r="H33" s="8">
        <v>46268.708333333336</v>
      </c>
      <c r="I33" s="8">
        <f t="shared" si="0"/>
        <v>46270.708333333336</v>
      </c>
      <c r="J33" s="9">
        <v>0</v>
      </c>
      <c r="K33" s="6" t="s">
        <v>120</v>
      </c>
      <c r="L33" s="6" t="s">
        <v>125</v>
      </c>
      <c r="M33" s="6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spans="1:44" ht="32.1" customHeight="1">
      <c r="A34" s="5" t="s">
        <v>126</v>
      </c>
      <c r="B34" s="6" t="s">
        <v>13</v>
      </c>
      <c r="C34" s="6" t="s">
        <v>127</v>
      </c>
      <c r="D34" s="7" t="s">
        <v>46</v>
      </c>
      <c r="E34" s="7" t="s">
        <v>20</v>
      </c>
      <c r="F34" s="7" t="s">
        <v>41</v>
      </c>
      <c r="G34" s="7">
        <v>3</v>
      </c>
      <c r="H34" s="8">
        <v>46273.708333333336</v>
      </c>
      <c r="I34" s="8">
        <f t="shared" si="0"/>
        <v>46275.708333333336</v>
      </c>
      <c r="J34" s="9">
        <v>0</v>
      </c>
      <c r="K34" s="6" t="s">
        <v>123</v>
      </c>
      <c r="L34" s="6" t="s">
        <v>128</v>
      </c>
      <c r="M34" s="6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spans="1:44" ht="32.1" customHeight="1">
      <c r="A35" s="5" t="s">
        <v>129</v>
      </c>
      <c r="B35" s="6" t="s">
        <v>13</v>
      </c>
      <c r="C35" s="6" t="s">
        <v>130</v>
      </c>
      <c r="D35" s="7" t="s">
        <v>46</v>
      </c>
      <c r="E35" s="7" t="s">
        <v>20</v>
      </c>
      <c r="F35" s="7" t="s">
        <v>41</v>
      </c>
      <c r="G35" s="7">
        <v>4</v>
      </c>
      <c r="H35" s="8">
        <v>46276.708333333336</v>
      </c>
      <c r="I35" s="8">
        <f t="shared" si="0"/>
        <v>46279.708333333336</v>
      </c>
      <c r="J35" s="9">
        <v>0</v>
      </c>
      <c r="K35" s="6" t="s">
        <v>126</v>
      </c>
      <c r="L35" s="6" t="s">
        <v>131</v>
      </c>
      <c r="M35" s="6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spans="1:44" ht="32.1" customHeight="1">
      <c r="A36" s="5" t="s">
        <v>132</v>
      </c>
      <c r="B36" s="6" t="s">
        <v>13</v>
      </c>
      <c r="C36" s="6" t="s">
        <v>133</v>
      </c>
      <c r="D36" s="7" t="s">
        <v>46</v>
      </c>
      <c r="E36" s="7" t="s">
        <v>20</v>
      </c>
      <c r="F36" s="7" t="s">
        <v>41</v>
      </c>
      <c r="G36" s="7">
        <v>1</v>
      </c>
      <c r="H36" s="8">
        <v>46282.708333333336</v>
      </c>
      <c r="I36" s="8">
        <f t="shared" si="0"/>
        <v>46282.708333333336</v>
      </c>
      <c r="J36" s="9">
        <v>0</v>
      </c>
      <c r="K36" s="6" t="s">
        <v>129</v>
      </c>
      <c r="L36" s="6" t="s">
        <v>134</v>
      </c>
      <c r="M36" s="6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spans="1:44" ht="32.1" customHeight="1">
      <c r="A37" s="5" t="s">
        <v>135</v>
      </c>
      <c r="B37" s="6" t="s">
        <v>14</v>
      </c>
      <c r="C37" s="6" t="s">
        <v>136</v>
      </c>
      <c r="D37" s="7" t="s">
        <v>46</v>
      </c>
      <c r="E37" s="7" t="s">
        <v>20</v>
      </c>
      <c r="F37" s="7" t="s">
        <v>41</v>
      </c>
      <c r="G37" s="7">
        <v>3</v>
      </c>
      <c r="H37" s="8">
        <v>46286.708333333336</v>
      </c>
      <c r="I37" s="8">
        <f t="shared" si="0"/>
        <v>46288.708333333336</v>
      </c>
      <c r="J37" s="9">
        <v>0</v>
      </c>
      <c r="K37" s="6" t="s">
        <v>80</v>
      </c>
      <c r="L37" s="6" t="s">
        <v>137</v>
      </c>
      <c r="M37" s="6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spans="1:44" ht="32.1" customHeight="1">
      <c r="A38" s="5" t="s">
        <v>138</v>
      </c>
      <c r="B38" s="6" t="s">
        <v>14</v>
      </c>
      <c r="C38" s="6" t="s">
        <v>139</v>
      </c>
      <c r="D38" s="7" t="s">
        <v>46</v>
      </c>
      <c r="E38" s="7" t="s">
        <v>20</v>
      </c>
      <c r="F38" s="7" t="s">
        <v>41</v>
      </c>
      <c r="G38" s="7">
        <v>3</v>
      </c>
      <c r="H38" s="8">
        <v>46289.708333333336</v>
      </c>
      <c r="I38" s="8">
        <f t="shared" si="0"/>
        <v>46291.708333333336</v>
      </c>
      <c r="J38" s="9">
        <v>0</v>
      </c>
      <c r="K38" s="6" t="s">
        <v>135</v>
      </c>
      <c r="L38" s="6" t="s">
        <v>140</v>
      </c>
      <c r="M38" s="6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spans="1:44" ht="32.1" customHeight="1">
      <c r="A39" s="5" t="s">
        <v>141</v>
      </c>
      <c r="B39" s="6" t="s">
        <v>14</v>
      </c>
      <c r="C39" s="6" t="s">
        <v>142</v>
      </c>
      <c r="D39" s="7" t="s">
        <v>40</v>
      </c>
      <c r="E39" s="7" t="s">
        <v>20</v>
      </c>
      <c r="F39" s="7" t="s">
        <v>41</v>
      </c>
      <c r="G39" s="7">
        <v>8</v>
      </c>
      <c r="H39" s="8">
        <v>46293.708333333336</v>
      </c>
      <c r="I39" s="8">
        <f t="shared" ref="I39:I70" si="1">IF(OR(H39="",G39=""),"",H39+G39-1)</f>
        <v>46300.708333333336</v>
      </c>
      <c r="J39" s="9">
        <v>0</v>
      </c>
      <c r="K39" s="6" t="s">
        <v>138</v>
      </c>
      <c r="L39" s="6" t="s">
        <v>143</v>
      </c>
      <c r="M39" s="6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spans="1:44" ht="32.1" customHeight="1">
      <c r="A40" s="5" t="s">
        <v>144</v>
      </c>
      <c r="B40" s="6" t="s">
        <v>14</v>
      </c>
      <c r="C40" s="6" t="s">
        <v>145</v>
      </c>
      <c r="D40" s="7" t="s">
        <v>40</v>
      </c>
      <c r="E40" s="7" t="s">
        <v>20</v>
      </c>
      <c r="F40" s="7" t="s">
        <v>41</v>
      </c>
      <c r="G40" s="7">
        <v>4</v>
      </c>
      <c r="H40" s="8">
        <v>46301.708333333336</v>
      </c>
      <c r="I40" s="8">
        <f t="shared" si="1"/>
        <v>46304.708333333336</v>
      </c>
      <c r="J40" s="9">
        <v>0</v>
      </c>
      <c r="K40" s="6" t="s">
        <v>141</v>
      </c>
      <c r="L40" s="6" t="s">
        <v>146</v>
      </c>
      <c r="M40" s="6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spans="1:44" ht="32.1" customHeight="1">
      <c r="A41" s="5" t="s">
        <v>147</v>
      </c>
      <c r="B41" s="6" t="s">
        <v>14</v>
      </c>
      <c r="C41" s="6" t="s">
        <v>148</v>
      </c>
      <c r="D41" s="7" t="s">
        <v>46</v>
      </c>
      <c r="E41" s="7" t="s">
        <v>20</v>
      </c>
      <c r="F41" s="7" t="s">
        <v>41</v>
      </c>
      <c r="G41" s="7">
        <v>4</v>
      </c>
      <c r="H41" s="8">
        <v>46307.708333333336</v>
      </c>
      <c r="I41" s="8">
        <f t="shared" si="1"/>
        <v>46310.708333333336</v>
      </c>
      <c r="J41" s="9">
        <v>0</v>
      </c>
      <c r="K41" s="6" t="s">
        <v>144</v>
      </c>
      <c r="L41" s="6" t="s">
        <v>149</v>
      </c>
      <c r="M41" s="6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spans="1:44" ht="32.1" customHeight="1">
      <c r="A42" s="5" t="s">
        <v>150</v>
      </c>
      <c r="B42" s="6" t="s">
        <v>14</v>
      </c>
      <c r="C42" s="6" t="s">
        <v>151</v>
      </c>
      <c r="D42" s="7" t="s">
        <v>40</v>
      </c>
      <c r="E42" s="7" t="s">
        <v>20</v>
      </c>
      <c r="F42" s="7" t="s">
        <v>41</v>
      </c>
      <c r="G42" s="7">
        <v>7</v>
      </c>
      <c r="H42" s="8">
        <v>46311.708333333336</v>
      </c>
      <c r="I42" s="8">
        <f t="shared" si="1"/>
        <v>46317.708333333336</v>
      </c>
      <c r="J42" s="9">
        <v>0</v>
      </c>
      <c r="K42" s="6" t="s">
        <v>147</v>
      </c>
      <c r="L42" s="6" t="s">
        <v>152</v>
      </c>
      <c r="M42" s="6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spans="1:44" ht="32.1" customHeight="1">
      <c r="A43" s="5" t="s">
        <v>153</v>
      </c>
      <c r="B43" s="6" t="s">
        <v>14</v>
      </c>
      <c r="C43" s="6" t="s">
        <v>154</v>
      </c>
      <c r="D43" s="7" t="s">
        <v>46</v>
      </c>
      <c r="E43" s="7" t="s">
        <v>20</v>
      </c>
      <c r="F43" s="7" t="s">
        <v>41</v>
      </c>
      <c r="G43" s="7">
        <v>4</v>
      </c>
      <c r="H43" s="8">
        <v>46321.708333333336</v>
      </c>
      <c r="I43" s="8">
        <f t="shared" si="1"/>
        <v>46324.708333333336</v>
      </c>
      <c r="J43" s="9">
        <v>0</v>
      </c>
      <c r="K43" s="6" t="s">
        <v>150</v>
      </c>
      <c r="L43" s="6" t="s">
        <v>155</v>
      </c>
      <c r="M43" s="6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spans="1:44" ht="32.1" customHeight="1">
      <c r="A44" s="5" t="s">
        <v>156</v>
      </c>
      <c r="B44" s="6" t="s">
        <v>14</v>
      </c>
      <c r="C44" s="6" t="s">
        <v>157</v>
      </c>
      <c r="D44" s="7" t="s">
        <v>46</v>
      </c>
      <c r="E44" s="7" t="s">
        <v>20</v>
      </c>
      <c r="F44" s="7" t="s">
        <v>41</v>
      </c>
      <c r="G44" s="7">
        <v>1</v>
      </c>
      <c r="H44" s="8">
        <v>46325.708333333336</v>
      </c>
      <c r="I44" s="8">
        <f t="shared" si="1"/>
        <v>46325.708333333336</v>
      </c>
      <c r="J44" s="9">
        <v>0</v>
      </c>
      <c r="K44" s="6" t="s">
        <v>153</v>
      </c>
      <c r="L44" s="6" t="s">
        <v>158</v>
      </c>
      <c r="M44" s="6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spans="1:44" ht="32.1" customHeight="1">
      <c r="A45" s="5" t="s">
        <v>159</v>
      </c>
      <c r="B45" s="6" t="s">
        <v>15</v>
      </c>
      <c r="C45" s="6" t="s">
        <v>160</v>
      </c>
      <c r="D45" s="7" t="s">
        <v>46</v>
      </c>
      <c r="E45" s="7" t="s">
        <v>20</v>
      </c>
      <c r="F45" s="7" t="s">
        <v>41</v>
      </c>
      <c r="G45" s="7">
        <v>3</v>
      </c>
      <c r="H45" s="8">
        <v>46328.75</v>
      </c>
      <c r="I45" s="8">
        <f t="shared" si="1"/>
        <v>46330.75</v>
      </c>
      <c r="J45" s="9">
        <v>0</v>
      </c>
      <c r="K45" s="6" t="s">
        <v>161</v>
      </c>
      <c r="L45" s="6" t="s">
        <v>162</v>
      </c>
      <c r="M45" s="6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spans="1:44" ht="32.1" customHeight="1">
      <c r="A46" s="5" t="s">
        <v>163</v>
      </c>
      <c r="B46" s="6" t="s">
        <v>15</v>
      </c>
      <c r="C46" s="6" t="s">
        <v>164</v>
      </c>
      <c r="D46" s="7" t="s">
        <v>46</v>
      </c>
      <c r="E46" s="7" t="s">
        <v>20</v>
      </c>
      <c r="F46" s="7" t="s">
        <v>41</v>
      </c>
      <c r="G46" s="7">
        <v>3</v>
      </c>
      <c r="H46" s="8">
        <v>46331.75</v>
      </c>
      <c r="I46" s="8">
        <f t="shared" si="1"/>
        <v>46333.75</v>
      </c>
      <c r="J46" s="9">
        <v>0</v>
      </c>
      <c r="K46" s="6" t="s">
        <v>159</v>
      </c>
      <c r="L46" s="6" t="s">
        <v>165</v>
      </c>
      <c r="M46" s="6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spans="1:44" ht="32.1" customHeight="1">
      <c r="A47" s="5" t="s">
        <v>166</v>
      </c>
      <c r="B47" s="6" t="s">
        <v>15</v>
      </c>
      <c r="C47" s="6" t="s">
        <v>167</v>
      </c>
      <c r="D47" s="7" t="s">
        <v>46</v>
      </c>
      <c r="E47" s="7" t="s">
        <v>20</v>
      </c>
      <c r="F47" s="7" t="s">
        <v>41</v>
      </c>
      <c r="G47" s="7">
        <v>3</v>
      </c>
      <c r="H47" s="8">
        <v>46336.75</v>
      </c>
      <c r="I47" s="8">
        <f t="shared" si="1"/>
        <v>46338.75</v>
      </c>
      <c r="J47" s="9">
        <v>0</v>
      </c>
      <c r="K47" s="6" t="s">
        <v>163</v>
      </c>
      <c r="L47" s="6" t="s">
        <v>168</v>
      </c>
      <c r="M47" s="6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spans="1:44" ht="32.1" customHeight="1">
      <c r="A48" s="5" t="s">
        <v>169</v>
      </c>
      <c r="B48" s="6" t="s">
        <v>15</v>
      </c>
      <c r="C48" s="6" t="s">
        <v>170</v>
      </c>
      <c r="D48" s="7" t="s">
        <v>46</v>
      </c>
      <c r="E48" s="7" t="s">
        <v>20</v>
      </c>
      <c r="F48" s="7" t="s">
        <v>41</v>
      </c>
      <c r="G48" s="7">
        <v>5</v>
      </c>
      <c r="H48" s="8">
        <v>46339.75</v>
      </c>
      <c r="I48" s="8">
        <f t="shared" si="1"/>
        <v>46343.75</v>
      </c>
      <c r="J48" s="9">
        <v>0</v>
      </c>
      <c r="K48" s="6" t="s">
        <v>166</v>
      </c>
      <c r="L48" s="6" t="s">
        <v>171</v>
      </c>
      <c r="M48" s="6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spans="1:44" ht="32.1" customHeight="1">
      <c r="A49" s="5" t="s">
        <v>172</v>
      </c>
      <c r="B49" s="6" t="s">
        <v>15</v>
      </c>
      <c r="C49" s="6" t="s">
        <v>173</v>
      </c>
      <c r="D49" s="7" t="s">
        <v>46</v>
      </c>
      <c r="E49" s="7" t="s">
        <v>20</v>
      </c>
      <c r="F49" s="7" t="s">
        <v>41</v>
      </c>
      <c r="G49" s="7">
        <v>1</v>
      </c>
      <c r="H49" s="8">
        <v>46346.75</v>
      </c>
      <c r="I49" s="8">
        <f t="shared" si="1"/>
        <v>46346.75</v>
      </c>
      <c r="J49" s="9">
        <v>0</v>
      </c>
      <c r="K49" s="6" t="s">
        <v>169</v>
      </c>
      <c r="L49" s="6" t="s">
        <v>174</v>
      </c>
      <c r="M49" s="6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spans="1:44" ht="32.1" customHeight="1">
      <c r="A50" s="5" t="s">
        <v>175</v>
      </c>
      <c r="B50" s="6" t="s">
        <v>16</v>
      </c>
      <c r="C50" s="6" t="s">
        <v>176</v>
      </c>
      <c r="D50" s="7" t="s">
        <v>46</v>
      </c>
      <c r="E50" s="7" t="s">
        <v>20</v>
      </c>
      <c r="F50" s="7" t="s">
        <v>41</v>
      </c>
      <c r="G50" s="7">
        <v>4</v>
      </c>
      <c r="H50" s="8">
        <v>46349.75</v>
      </c>
      <c r="I50" s="8">
        <f t="shared" si="1"/>
        <v>46352.75</v>
      </c>
      <c r="J50" s="9">
        <v>0</v>
      </c>
      <c r="K50" s="6" t="s">
        <v>172</v>
      </c>
      <c r="L50" s="6" t="s">
        <v>177</v>
      </c>
      <c r="M50" s="6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spans="1:44" ht="32.1" customHeight="1">
      <c r="A51" s="5" t="s">
        <v>178</v>
      </c>
      <c r="B51" s="6" t="s">
        <v>16</v>
      </c>
      <c r="C51" s="6" t="s">
        <v>179</v>
      </c>
      <c r="D51" s="7" t="s">
        <v>46</v>
      </c>
      <c r="E51" s="7" t="s">
        <v>20</v>
      </c>
      <c r="F51" s="7" t="s">
        <v>41</v>
      </c>
      <c r="G51" s="7">
        <v>4</v>
      </c>
      <c r="H51" s="8">
        <v>46356.75</v>
      </c>
      <c r="I51" s="8">
        <f t="shared" si="1"/>
        <v>46359.75</v>
      </c>
      <c r="J51" s="9">
        <v>0</v>
      </c>
      <c r="K51" s="6" t="s">
        <v>175</v>
      </c>
      <c r="L51" s="6" t="s">
        <v>180</v>
      </c>
      <c r="M51" s="6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spans="1:44" ht="32.1" customHeight="1">
      <c r="A52" s="5" t="s">
        <v>181</v>
      </c>
      <c r="B52" s="6" t="s">
        <v>16</v>
      </c>
      <c r="C52" s="6" t="s">
        <v>182</v>
      </c>
      <c r="D52" s="7" t="s">
        <v>46</v>
      </c>
      <c r="E52" s="7" t="s">
        <v>20</v>
      </c>
      <c r="F52" s="7" t="s">
        <v>53</v>
      </c>
      <c r="G52" s="7">
        <v>3</v>
      </c>
      <c r="H52" s="8">
        <v>46360.75</v>
      </c>
      <c r="I52" s="8">
        <f t="shared" si="1"/>
        <v>46362.75</v>
      </c>
      <c r="J52" s="9">
        <v>0</v>
      </c>
      <c r="K52" s="6" t="s">
        <v>178</v>
      </c>
      <c r="L52" s="6" t="s">
        <v>183</v>
      </c>
      <c r="M52" s="6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spans="1:44" ht="32.1" customHeight="1">
      <c r="A53" s="5" t="s">
        <v>184</v>
      </c>
      <c r="B53" s="6" t="s">
        <v>16</v>
      </c>
      <c r="C53" s="6" t="s">
        <v>185</v>
      </c>
      <c r="D53" s="7" t="s">
        <v>40</v>
      </c>
      <c r="E53" s="7" t="s">
        <v>20</v>
      </c>
      <c r="F53" s="7" t="s">
        <v>41</v>
      </c>
      <c r="G53" s="7">
        <v>6</v>
      </c>
      <c r="H53" s="8">
        <v>46365.75</v>
      </c>
      <c r="I53" s="8">
        <f t="shared" si="1"/>
        <v>46370.75</v>
      </c>
      <c r="J53" s="9">
        <v>0</v>
      </c>
      <c r="K53" s="6" t="s">
        <v>181</v>
      </c>
      <c r="L53" s="6" t="s">
        <v>186</v>
      </c>
      <c r="M53" s="6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spans="1:44" ht="32.1" customHeight="1">
      <c r="A54" s="5" t="s">
        <v>187</v>
      </c>
      <c r="B54" s="6" t="s">
        <v>16</v>
      </c>
      <c r="C54" s="6" t="s">
        <v>188</v>
      </c>
      <c r="D54" s="7" t="s">
        <v>40</v>
      </c>
      <c r="E54" s="7" t="s">
        <v>20</v>
      </c>
      <c r="F54" s="7" t="s">
        <v>41</v>
      </c>
      <c r="G54" s="7">
        <v>8</v>
      </c>
      <c r="H54" s="8">
        <v>46373.75</v>
      </c>
      <c r="I54" s="8">
        <f t="shared" si="1"/>
        <v>46380.75</v>
      </c>
      <c r="J54" s="9">
        <v>0</v>
      </c>
      <c r="K54" s="6" t="s">
        <v>184</v>
      </c>
      <c r="L54" s="6" t="s">
        <v>189</v>
      </c>
      <c r="M54" s="6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spans="1:44" ht="32.1" customHeight="1">
      <c r="A55" s="5" t="s">
        <v>190</v>
      </c>
      <c r="B55" s="6" t="s">
        <v>16</v>
      </c>
      <c r="C55" s="6" t="s">
        <v>191</v>
      </c>
      <c r="D55" s="7" t="s">
        <v>46</v>
      </c>
      <c r="E55" s="7" t="s">
        <v>20</v>
      </c>
      <c r="F55" s="7" t="s">
        <v>41</v>
      </c>
      <c r="G55" s="7">
        <v>1</v>
      </c>
      <c r="H55" s="8">
        <v>46385.75</v>
      </c>
      <c r="I55" s="8">
        <f t="shared" si="1"/>
        <v>46385.75</v>
      </c>
      <c r="J55" s="9">
        <v>0</v>
      </c>
      <c r="K55" s="6" t="s">
        <v>187</v>
      </c>
      <c r="L55" s="6" t="s">
        <v>192</v>
      </c>
      <c r="M55" s="6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</sheetData>
  <mergeCells count="3">
    <mergeCell ref="A1:M1"/>
    <mergeCell ref="A2:M2"/>
    <mergeCell ref="A3:M3"/>
  </mergeCells>
  <conditionalFormatting sqref="E7:E55">
    <cfRule type="expression" dxfId="7" priority="1">
      <formula>$E7="Complete"</formula>
    </cfRule>
    <cfRule type="expression" dxfId="6" priority="2">
      <formula>$E7="In Progress"</formula>
    </cfRule>
    <cfRule type="expression" dxfId="5" priority="3">
      <formula>$E7="Blocked"</formula>
    </cfRule>
  </conditionalFormatting>
  <conditionalFormatting sqref="N7:AR55">
    <cfRule type="expression" dxfId="4" priority="4">
      <formula>AND(N$6&lt;=$I7,N$6+6&gt;=$H7,$E7="Not Started")</formula>
    </cfRule>
    <cfRule type="expression" dxfId="3" priority="5">
      <formula>AND(N$6&lt;=$I7,N$6+6&gt;=$H7,$E7="In Progress")</formula>
    </cfRule>
    <cfRule type="expression" dxfId="2" priority="6">
      <formula>AND(N$6&lt;=$I7,N$6+6&gt;=$H7,$E7="Blocked")</formula>
    </cfRule>
    <cfRule type="expression" dxfId="1" priority="7">
      <formula>AND(N$6&lt;=$I7,N$6+6&gt;=$H7,$E7="Complete")</formula>
    </cfRule>
    <cfRule type="expression" dxfId="0" priority="8">
      <formula>AND(N$6&lt;=$I7,N$6+6&gt;=$H7,ISNUMBER(SEARCH("Milestone",$C7)))</formula>
    </cfRule>
  </conditionalFormatting>
  <dataValidations count="1">
    <dataValidation type="decimal" sqref="J7:J55" xr:uid="{00000000-0002-0000-0100-000003000000}">
      <formula1>0</formula1>
      <formula2>1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Lists!$C$2:$C$4</xm:f>
          </x14:formula1>
          <xm:sqref>D7:D55</xm:sqref>
        </x14:dataValidation>
        <x14:dataValidation type="list" xr:uid="{00000000-0002-0000-0100-000001000000}">
          <x14:formula1>
            <xm:f>Lists!$A$2:$A$5</xm:f>
          </x14:formula1>
          <xm:sqref>E7:E55</xm:sqref>
        </x14:dataValidation>
        <x14:dataValidation type="list" xr:uid="{00000000-0002-0000-0100-000002000000}">
          <x14:formula1>
            <xm:f>Lists!$B$2:$B$4</xm:f>
          </x14:formula1>
          <xm:sqref>F7:F55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workbookViewId="0"/>
  </sheetViews>
  <sheetFormatPr defaultRowHeight="14.25"/>
  <cols>
    <col min="1" max="3" width="20" customWidth="1"/>
  </cols>
  <sheetData>
    <row r="1" spans="1:3" ht="15">
      <c r="A1" s="2" t="s">
        <v>29</v>
      </c>
      <c r="B1" s="2" t="s">
        <v>30</v>
      </c>
      <c r="C1" s="2" t="s">
        <v>28</v>
      </c>
    </row>
    <row r="2" spans="1:3">
      <c r="A2" s="3" t="s">
        <v>20</v>
      </c>
      <c r="B2" s="3" t="s">
        <v>41</v>
      </c>
      <c r="C2" s="3" t="s">
        <v>46</v>
      </c>
    </row>
    <row r="3" spans="1:3">
      <c r="A3" s="3" t="s">
        <v>21</v>
      </c>
      <c r="B3" s="3" t="s">
        <v>53</v>
      </c>
      <c r="C3" s="3" t="s">
        <v>40</v>
      </c>
    </row>
    <row r="4" spans="1:3">
      <c r="A4" s="3" t="s">
        <v>22</v>
      </c>
      <c r="B4" s="3" t="s">
        <v>193</v>
      </c>
      <c r="C4" s="3" t="s">
        <v>194</v>
      </c>
    </row>
    <row r="5" spans="1:3">
      <c r="A5" s="3" t="s">
        <v>7</v>
      </c>
      <c r="B5" s="3"/>
      <c r="C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Gantt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Claypool</cp:lastModifiedBy>
  <dcterms:modified xsi:type="dcterms:W3CDTF">2026-06-15T13:49:02Z</dcterms:modified>
</cp:coreProperties>
</file>