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dbf9ce5cff42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3e98186519e4799"/>
    <x:sheet xmlns:r="http://schemas.openxmlformats.org/officeDocument/2006/relationships" name="Gantt" sheetId="2" r:id="R617461d4d5b540ec"/>
    <x:sheet xmlns:r="http://schemas.openxmlformats.org/officeDocument/2006/relationships" name="Lists" sheetId="3" r:id="R3a314f505da742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mmm d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243447"/>
      <x:name val="Carlito"/>
    </x:font>
    <x:font>
      <x:sz val="11"/>
      <x:color rgb="FF243447"/>
      <x:name val="Carlito"/>
    </x:font>
    <x:font>
      <x:sz val="10"/>
      <x:color rgb="FF243447"/>
      <x:name val="Carlito"/>
    </x:font>
    <x:font>
      <x:b/>
      <x:sz val="9"/>
      <x:color rgb="FFFFFFFF"/>
      <x:name val="Carlito"/>
    </x:font>
    <x:font>
      <x:b/>
      <x:sz val="18"/>
      <x:color rgb="FF17324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3F5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ED7D31"/>
      </x:patternFill>
    </x:fill>
    <x:fill>
      <x:patternFill patternType="solid">
        <x:fgColor rgb="FFC00000"/>
      </x:patternFill>
    </x:fill>
    <x:fill>
      <x:patternFill patternType="solid">
        <x:fgColor rgb="FF70AD47"/>
      </x:patternFill>
    </x:fill>
  </x:fills>
  <x:borders count="7">
    <x:border/>
    <x:border>
      <x:left style="thin">
        <x:color rgb="FFD5DCE3"/>
      </x:left>
      <x:right style="thin">
        <x:color rgb="FFD5DCE3"/>
      </x:right>
      <x:top style="thin">
        <x:color rgb="FFD5DCE3"/>
      </x:top>
      <x:bottom style="thin">
        <x:color rgb="FFD5DCE3"/>
      </x:bottom>
    </x:border>
    <x:border>
      <x:left style="thin">
        <x:color rgb="FF49647D"/>
      </x:left>
      <x:right style="thin">
        <x:color rgb="FF49647D"/>
      </x:right>
      <x:top style="thin">
        <x:color rgb="FF49647D"/>
      </x:top>
      <x:bottom style="thin">
        <x:color rgb="FF49647D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D5DCE3"/>
      </x:left>
      <x:top style="thin">
        <x:color rgb="FFD5DCE3"/>
      </x:top>
      <x:bottom style="thin">
        <x:color rgb="FFD5DCE3"/>
      </x:bottom>
    </x:border>
    <x:border>
      <x:top style="thin">
        <x:color rgb="FFD5DCE3"/>
      </x:top>
      <x:bottom style="thin">
        <x:color rgb="FFD5DCE3"/>
      </x:bottom>
    </x:border>
    <x:border>
      <x:right style="thin">
        <x:color rgb="FFD5DCE3"/>
      </x:right>
      <x:top style="thin">
        <x:color rgb="FFD5DCE3"/>
      </x:top>
      <x:bottom style="thin">
        <x:color rgb="FFD5DCE3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5" fillId="0" borderId="1" xfId="0" applyNumberFormat="1" applyFont="1" applyFill="1" applyBorder="1"/>
    <x:xf numFmtId="201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</x:xf>
    <x:xf numFmtId="200" fontId="5" fillId="0" borderId="1" xfId="0" applyNumberFormat="1" applyFont="1" applyFill="1" applyBorder="1" applyAlignment="1">
      <x:alignment horizontal="center" vertical="center"/>
    </x:xf>
    <x:xf numFmtId="201" fontId="5" fillId="0" borderId="1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202" fontId="6" fillId="2" borderId="2" xfId="0" applyNumberFormat="1" applyFont="1" applyFill="1" applyBorder="1"/>
    <x:xf numFmtId="202" fontId="6" fillId="2" borderId="2" xfId="0" applyNumberFormat="1" applyFont="1" applyFill="1" applyBorder="1" applyAlignment="1">
      <x:alignment horizontal="center"/>
    </x:xf>
    <x:xf numFmtId="202" fontId="6" fillId="2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0" fillId="6" borderId="3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0" fontId="7" fillId="4" borderId="5" xfId="0" applyNumberFormat="1" applyFont="1" applyFill="1" applyBorder="1"/>
    <x:xf numFmtId="0" fontId="7" fillId="4" borderId="6" xfId="0" applyNumberFormat="1" applyFont="1" applyFill="1" applyBorder="1"/>
    <x:xf numFmtId="0" fontId="7" fillId="4" borderId="4" xfId="0" applyNumberFormat="1" applyFont="1" applyFill="1" applyBorder="1" applyAlignment="1">
      <x:alignment horizontal="center"/>
    </x:xf>
    <x:xf numFmtId="0" fontId="7" fillId="4" borderId="5" xfId="0" applyNumberFormat="1" applyFont="1" applyFill="1" applyBorder="1" applyAlignment="1">
      <x:alignment horizontal="center"/>
    </x:xf>
    <x:xf numFmtId="0" fontId="7" fillId="4" borderId="6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1" fontId="4" fillId="0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8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ill>
        <x:patternFill patternType="solid">
          <x:bgColor rgb="FF2F75B5"/>
        </x:patternFill>
      </x:fill>
    </x:dxf>
    <x:dxf>
      <x:fill>
        <x:patternFill patternType="solid">
          <x:bgColor rgb="FFED7D31"/>
        </x:patternFill>
      </x:fill>
    </x:dxf>
    <x:dxf>
      <x:fill>
        <x:patternFill patternType="solid">
          <x:bgColor rgb="FFC00000"/>
        </x:patternFill>
      </x:fill>
    </x:dxf>
    <x:dxf>
      <x:fill>
        <x:patternFill patternType="solid">
          <x:bgColor rgb="FF70AD47"/>
        </x:patternFill>
      </x:fill>
    </x:dxf>
    <x:dxf>
      <x:fill>
        <x:patternFill patternType="solid">
          <x:bgColor rgb="FF8064A2"/>
        </x:patternFill>
      </x:fill>
      <x:border>
        <x:top style="medium">
          <x:color rgb="FF8064A2"/>
        </x:top>
        <x:bottom style="medium">
          <x:color rgb="FF8064A2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32177fc21f44ee" /><Relationship Type="http://schemas.openxmlformats.org/officeDocument/2006/relationships/theme" Target="/xl/theme/theme1.xml" Id="Rb7734680b5784ed5" /><Relationship Type="http://schemas.openxmlformats.org/officeDocument/2006/relationships/sharedStrings" Target="/xl/sharedStrings.xml" Id="R2ba363b5fc614764" /><Relationship Type="http://schemas.openxmlformats.org/officeDocument/2006/relationships/worksheet" Target="/xl/worksheets/sheet1.xml" Id="R73e98186519e4799" /><Relationship Type="http://schemas.openxmlformats.org/officeDocument/2006/relationships/worksheet" Target="/xl/worksheets/sheet2.xml" Id="R617461d4d5b540ec" /><Relationship Type="http://schemas.openxmlformats.org/officeDocument/2006/relationships/worksheet" Target="/xl/worksheets/sheet3.xml" Id="R3a314f505da742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c15f2bea9a42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Tasks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Tasks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'Dashboard'!$A$8:$A$15</c:f>
              <c:strCache>
                <c:ptCount val="0"/>
              </c:strCache>
            </c:strRef>
          </c:cat>
          <c:val>
            <c:numRef>
              <c:f>'Dashboard'!$B$8:$B$15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Complete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'Dashboard'!$A$8:$A$15</c:f>
              <c:strCache>
                <c:ptCount val="0"/>
              </c:strCache>
            </c:strRef>
          </c:cat>
          <c:val>
            <c:numRef>
              <c:f>'Dashboard'!$C$8:$C$15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6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c15f2bea9a428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ojectTasks" displayName="ProjectTasks" ref="A6:M55" headerRowCount="1">
  <x:tableColumns count="13">
    <x:tableColumn id="1" name="ID"/>
    <x:tableColumn id="2" name="Phase"/>
    <x:tableColumn id="3" name="Task"/>
    <x:tableColumn id="4" name="Owner"/>
    <x:tableColumn id="5" name="Status"/>
    <x:tableColumn id="6" name="Priority"/>
    <x:tableColumn id="7" name="Duration"/>
    <x:tableColumn id="8" name="Start"/>
    <x:tableColumn id="9" name="End"/>
    <x:tableColumn id="10" name="Progress"/>
    <x:tableColumn id="11" name="Predecessor"/>
    <x:tableColumn id="12" name="Evidence / Exit Proof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28ccc9c9114e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66cd4d7f9d149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7" t="str">
        <x:v>Theta Pen Plotter Project Dashboard</x:v>
      </x:c>
    </x:row>
    <x:row r="2">
      <x:c r="A2" s="9" t="str">
        <x:v>Schedule baseline: 2026-06-01 through 2026-12-29. Change dates and statuses on the Gantt sheet.</x:v>
      </x:c>
    </x:row>
    <x:row r="4">
      <x:c r="A4" s="42" t="str">
        <x:v>TOTAL TASKS</x:v>
      </x:c>
      <x:c r="B4" s="42"/>
      <x:c r="D4" s="42" t="str">
        <x:v>COMPLETE</x:v>
      </x:c>
      <x:c r="E4" s="42"/>
      <x:c r="G4" s="42" t="str">
        <x:v>IN PROGRESS</x:v>
      </x:c>
      <x:c r="H4" s="42"/>
      <x:c r="J4" s="42" t="str">
        <x:v>BLOCKED</x:v>
      </x:c>
      <x:c r="K4" s="42"/>
    </x:row>
    <x:row r="5">
      <x:c r="A5" s="47" t="n">
        <x:f>COUNTA(Gantt!$A$7:$A$55)</x:f>
        <x:v>49</x:v>
      </x:c>
      <x:c r="B5" s="48"/>
      <x:c r="C5" s="48"/>
      <x:c r="D5" s="48" t="n">
        <x:f>COUNTIF(Gantt!$E$7:$E$55,"Complete")</x:f>
        <x:v>1</x:v>
      </x:c>
      <x:c r="E5" s="48"/>
      <x:c r="F5" s="48"/>
      <x:c r="G5" s="48" t="n">
        <x:f>COUNTIF(Gantt!$E$7:$E$55,"In Progress")</x:f>
        <x:v>0</x:v>
      </x:c>
      <x:c r="H5" s="48"/>
      <x:c r="I5" s="48"/>
      <x:c r="J5" s="48" t="n">
        <x:f>COUNTIF(Gantt!$E$7:$E$55,"Blocked")</x:f>
        <x:v>0</x:v>
      </x:c>
      <x:c r="K5" s="49"/>
    </x:row>
    <x:row r="7">
      <x:c r="A7" s="50" t="str">
        <x:v>Phase</x:v>
      </x:c>
      <x:c r="B7" s="50" t="str">
        <x:v>Tasks</x:v>
      </x:c>
      <x:c r="C7" s="50" t="str">
        <x:v>Complete</x:v>
      </x:c>
      <x:c r="D7" s="50" t="str">
        <x:v>Average Progress</x:v>
      </x:c>
    </x:row>
    <x:row r="8">
      <x:c r="A8" s="52" t="str">
        <x:v>Phase 0 - Repository</x:v>
      </x:c>
      <x:c r="B8" s="52" t="n">
        <x:f>COUNTIF(Gantt!$B$7:$B$55,A8)</x:f>
        <x:v>1</x:v>
      </x:c>
      <x:c r="C8" s="52" t="n">
        <x:f>COUNTIFS(Gantt!$B$7:$B$55,A8,Gantt!$E$7:$E$55,"Complete")</x:f>
        <x:v>1</x:v>
      </x:c>
      <x:c r="D8" s="53" t="n">
        <x:f>IFERROR(AVERAGEIF(Gantt!$B$7:$B$55,A8,Gantt!$J$7:$J$55),0)</x:f>
        <x:v>1</x:v>
      </x:c>
    </x:row>
    <x:row r="9">
      <x:c r="A9" s="52" t="str">
        <x:v>Phase 1 - Electrical</x:v>
      </x:c>
      <x:c r="B9" s="52" t="n">
        <x:f>COUNTIF(Gantt!$B$7:$B$55,A9)</x:f>
        <x:v>12</x:v>
      </x:c>
      <x:c r="C9" s="52" t="n">
        <x:f>COUNTIFS(Gantt!$B$7:$B$55,A9,Gantt!$E$7:$E$55,"Complete")</x:f>
        <x:v>0</x:v>
      </x:c>
      <x:c r="D9" s="53" t="n">
        <x:f>IFERROR(AVERAGEIF(Gantt!$B$7:$B$55,A9,Gantt!$J$7:$J$55),0)</x:f>
        <x:v>0</x:v>
      </x:c>
    </x:row>
    <x:row r="10">
      <x:c r="A10" s="52" t="str">
        <x:v>Phase 2 - Controller</x:v>
      </x:c>
      <x:c r="B10" s="52" t="n">
        <x:f>COUNTIF(Gantt!$B$7:$B$55,A10)</x:f>
        <x:v>6</x:v>
      </x:c>
      <x:c r="C10" s="52" t="n">
        <x:f>COUNTIFS(Gantt!$B$7:$B$55,A10,Gantt!$E$7:$E$55,"Complete")</x:f>
        <x:v>0</x:v>
      </x:c>
      <x:c r="D10" s="53" t="n">
        <x:f>IFERROR(AVERAGEIF(Gantt!$B$7:$B$55,A10,Gantt!$J$7:$J$55),0)</x:f>
        <x:v>0</x:v>
      </x:c>
    </x:row>
    <x:row r="11">
      <x:c r="A11" s="52" t="str">
        <x:v>Phase 3 - Single Axis</x:v>
      </x:c>
      <x:c r="B11" s="52" t="n">
        <x:f>COUNTIF(Gantt!$B$7:$B$55,A11)</x:f>
        <x:v>5</x:v>
      </x:c>
      <x:c r="C11" s="52" t="n">
        <x:f>COUNTIFS(Gantt!$B$7:$B$55,A11,Gantt!$E$7:$E$55,"Complete")</x:f>
        <x:v>0</x:v>
      </x:c>
      <x:c r="D11" s="53" t="n">
        <x:f>IFERROR(AVERAGEIF(Gantt!$B$7:$B$55,A11,Gantt!$J$7:$J$55),0)</x:f>
        <x:v>0</x:v>
      </x:c>
    </x:row>
    <x:row r="12">
      <x:c r="A12" s="52" t="str">
        <x:v>Phase 4 - Three Axis</x:v>
      </x:c>
      <x:c r="B12" s="52" t="n">
        <x:f>COUNTIF(Gantt!$B$7:$B$55,A12)</x:f>
        <x:v>6</x:v>
      </x:c>
      <x:c r="C12" s="52" t="n">
        <x:f>COUNTIFS(Gantt!$B$7:$B$55,A12,Gantt!$E$7:$E$55,"Complete")</x:f>
        <x:v>0</x:v>
      </x:c>
      <x:c r="D12" s="53" t="n">
        <x:f>IFERROR(AVERAGEIF(Gantt!$B$7:$B$55,A12,Gantt!$J$7:$J$55),0)</x:f>
        <x:v>0</x:v>
      </x:c>
    </x:row>
    <x:row r="13">
      <x:c r="A13" s="52" t="str">
        <x:v>Phase 5 - Toolhead</x:v>
      </x:c>
      <x:c r="B13" s="52" t="n">
        <x:f>COUNTIF(Gantt!$B$7:$B$55,A13)</x:f>
        <x:v>8</x:v>
      </x:c>
      <x:c r="C13" s="52" t="n">
        <x:f>COUNTIFS(Gantt!$B$7:$B$55,A13,Gantt!$E$7:$E$55,"Complete")</x:f>
        <x:v>0</x:v>
      </x:c>
      <x:c r="D13" s="53" t="n">
        <x:f>IFERROR(AVERAGEIF(Gantt!$B$7:$B$55,A13,Gantt!$J$7:$J$55),0)</x:f>
        <x:v>0</x:v>
      </x:c>
    </x:row>
    <x:row r="14">
      <x:c r="A14" s="52" t="str">
        <x:v>Phase 6 - Integration</x:v>
      </x:c>
      <x:c r="B14" s="52" t="n">
        <x:f>COUNTIF(Gantt!$B$7:$B$55,A14)</x:f>
        <x:v>5</x:v>
      </x:c>
      <x:c r="C14" s="52" t="n">
        <x:f>COUNTIFS(Gantt!$B$7:$B$55,A14,Gantt!$E$7:$E$55,"Complete")</x:f>
        <x:v>0</x:v>
      </x:c>
      <x:c r="D14" s="53" t="n">
        <x:f>IFERROR(AVERAGEIF(Gantt!$B$7:$B$55,A14,Gantt!$J$7:$J$55),0)</x:f>
        <x:v>0</x:v>
      </x:c>
    </x:row>
    <x:row r="15">
      <x:c r="A15" s="52" t="str">
        <x:v>Phase 7 - Validation</x:v>
      </x:c>
      <x:c r="B15" s="52" t="n">
        <x:f>COUNTIF(Gantt!$B$7:$B$55,A15)</x:f>
        <x:v>6</x:v>
      </x:c>
      <x:c r="C15" s="52" t="n">
        <x:f>COUNTIFS(Gantt!$B$7:$B$55,A15,Gantt!$E$7:$E$55,"Complete")</x:f>
        <x:v>0</x:v>
      </x:c>
      <x:c r="D15" s="53" t="n">
        <x:f>IFERROR(AVERAGEIF(Gantt!$B$7:$B$55,A15,Gantt!$J$7:$J$55),0)</x:f>
        <x:v>0</x:v>
      </x:c>
    </x:row>
    <x:row r="18">
      <x:c r="A18" s="15" t="str">
        <x:v>Current Focus</x:v>
      </x:c>
    </x:row>
    <x:row r="19" ht="24" customHeight="1">
      <x:c r="A19" s="56" t="str">
        <x:v>Complete the Phase 1 bench worksheet before connecting motors or the toolhead to RP23CNC. Record evidence in lab notes, then update ROADMAP.md and this workbook together.</x:v>
      </x:c>
    </x:row>
    <x:row r="20" ht="24" customHeight="1"/>
    <x:row r="21" ht="24" customHeight="1"/>
    <x:row r="22" ht="24" customHeight="1"/>
    <x:row r="24">
      <x:c r="A24" s="2" t="str">
        <x:v>Status Legend</x:v>
      </x:c>
    </x:row>
    <x:row r="25">
      <x:c r="A25" s="42" t="str">
        <x:v>Not Started</x:v>
      </x:c>
      <x:c r="B25" s="63" t="str">
        <x:v>In Progress</x:v>
      </x:c>
      <x:c r="C25" s="64" t="str">
        <x:v>Blocked</x:v>
      </x:c>
      <x:c r="D25" s="65" t="str">
        <x:v>Complete</x:v>
      </x:c>
    </x:row>
  </x:sheetData>
  <x:mergeCells>
    <x:mergeCell ref="A1:L1"/>
    <x:mergeCell ref="A2:L2"/>
    <x:mergeCell ref="A4:B4"/>
    <x:mergeCell ref="D4:E4"/>
    <x:mergeCell ref="G4:H4"/>
    <x:mergeCell ref="J4:K4"/>
    <x:mergeCell ref="A5:B5"/>
    <x:mergeCell ref="D5:E5"/>
    <x:mergeCell ref="G5:H5"/>
    <x:mergeCell ref="J5:K5"/>
    <x:mergeCell ref="A18:F18"/>
    <x:mergeCell ref="A19:F22"/>
    <x:mergeCell ref="A24:F24"/>
  </x:mergeCells>
  <x:conditionalFormatting sqref="D8:D15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b728ccc9c9114ed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B5"/>
            </x14:dataBar>
          </x14:cfRule>
          <xm:sqref>D8:D15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3" hidden="0" customWidth="1"/>
    <x:col min="3" max="3" width="52" hidden="0" customWidth="1"/>
    <x:col min="4" max="4" width="16" hidden="0" customWidth="1"/>
    <x:col min="5" max="5" width="15" hidden="0" customWidth="1"/>
    <x:col min="6" max="6" width="11" hidden="0" customWidth="1"/>
    <x:col min="7" max="7" width="10" hidden="0" customWidth="1"/>
    <x:col min="8" max="8" width="12" hidden="0" customWidth="1"/>
    <x:col min="9" max="9" width="12" hidden="0" customWidth="1"/>
    <x:col min="10" max="10" width="11" hidden="0" customWidth="1"/>
    <x:col min="11" max="11" width="18" hidden="0" customWidth="1"/>
    <x:col min="12" max="12" width="25" hidden="0" customWidth="1"/>
    <x:col min="13" max="13" width="26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0" hidden="0" customWidth="1"/>
    <x:col min="42" max="42" width="10" hidden="0" customWidth="1"/>
    <x:col min="43" max="43" width="10" hidden="0" customWidth="1"/>
    <x:col min="44" max="44" width="10" hidden="0" customWidth="1"/>
  </x:cols>
  <x:sheetData>
    <x:row r="1" ht="32" customHeight="1">
      <x:c r="A1" s="7" t="str">
        <x:v>Theta Pen Plotter Project Gantt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>
      <x:c r="A2" s="10" t="str">
        <x:v>Editable schedule generated from docs/project/ROADMAP.md. Update task inputs, then keep roadmap evidence/checklists authoritative.</x:v>
      </x:c>
    </x:row>
    <x:row r="3">
      <x:c r="A3" s="13" t="str">
        <x:v>Edit columns D-H, J-M. End dates and summaries are formula-driven. Timeline bars update from Start, End, and Status.</x:v>
      </x:c>
    </x:row>
    <x:row r="6" ht="34" customHeight="1">
      <x:c r="A6" s="19" t="str">
        <x:v>ID</x:v>
      </x:c>
      <x:c r="B6" s="19" t="str">
        <x:v>Phase</x:v>
      </x:c>
      <x:c r="C6" s="19" t="str">
        <x:v>Task</x:v>
      </x:c>
      <x:c r="D6" s="19" t="str">
        <x:v>Owner</x:v>
      </x:c>
      <x:c r="E6" s="19" t="str">
        <x:v>Status</x:v>
      </x:c>
      <x:c r="F6" s="19" t="str">
        <x:v>Priority</x:v>
      </x:c>
      <x:c r="G6" s="19" t="str">
        <x:v>Duration</x:v>
      </x:c>
      <x:c r="H6" s="19" t="str">
        <x:v>Start</x:v>
      </x:c>
      <x:c r="I6" s="19" t="str">
        <x:v>End</x:v>
      </x:c>
      <x:c r="J6" s="19" t="str">
        <x:v>Progress</x:v>
      </x:c>
      <x:c r="K6" s="19" t="str">
        <x:v>Predecessor</x:v>
      </x:c>
      <x:c r="L6" s="19" t="str">
        <x:v>Evidence / Exit Proof</x:v>
      </x:c>
      <x:c r="M6" s="19" t="str">
        <x:v>Notes</x:v>
      </x:c>
      <x:c r="N6" s="39" t="n">
        <x:v>46174.708333333336</x:v>
      </x:c>
      <x:c r="O6" s="39" t="n">
        <x:v>46181.708333333336</x:v>
      </x:c>
      <x:c r="P6" s="39" t="n">
        <x:v>46188.708333333336</x:v>
      </x:c>
      <x:c r="Q6" s="39" t="n">
        <x:v>46195.708333333336</x:v>
      </x:c>
      <x:c r="R6" s="39" t="n">
        <x:v>46202.708333333336</x:v>
      </x:c>
      <x:c r="S6" s="39" t="n">
        <x:v>46209.708333333336</x:v>
      </x:c>
      <x:c r="T6" s="39" t="n">
        <x:v>46216.708333333336</x:v>
      </x:c>
      <x:c r="U6" s="39" t="n">
        <x:v>46223.708333333336</x:v>
      </x:c>
      <x:c r="V6" s="39" t="n">
        <x:v>46230.708333333336</x:v>
      </x:c>
      <x:c r="W6" s="39" t="n">
        <x:v>46237.708333333336</x:v>
      </x:c>
      <x:c r="X6" s="39" t="n">
        <x:v>46244.708333333336</x:v>
      </x:c>
      <x:c r="Y6" s="39" t="n">
        <x:v>46251.708333333336</x:v>
      </x:c>
      <x:c r="Z6" s="39" t="n">
        <x:v>46258.708333333336</x:v>
      </x:c>
      <x:c r="AA6" s="39" t="n">
        <x:v>46265.708333333336</x:v>
      </x:c>
      <x:c r="AB6" s="39" t="n">
        <x:v>46272.708333333336</x:v>
      </x:c>
      <x:c r="AC6" s="39" t="n">
        <x:v>46279.708333333336</x:v>
      </x:c>
      <x:c r="AD6" s="39" t="n">
        <x:v>46286.708333333336</x:v>
      </x:c>
      <x:c r="AE6" s="39" t="n">
        <x:v>46293.708333333336</x:v>
      </x:c>
      <x:c r="AF6" s="39" t="n">
        <x:v>46300.708333333336</x:v>
      </x:c>
      <x:c r="AG6" s="39" t="n">
        <x:v>46307.708333333336</x:v>
      </x:c>
      <x:c r="AH6" s="39" t="n">
        <x:v>46314.708333333336</x:v>
      </x:c>
      <x:c r="AI6" s="39" t="n">
        <x:v>46321.708333333336</x:v>
      </x:c>
      <x:c r="AJ6" s="39" t="n">
        <x:v>46328.75</x:v>
      </x:c>
      <x:c r="AK6" s="39" t="n">
        <x:v>46335.75</x:v>
      </x:c>
      <x:c r="AL6" s="39" t="n">
        <x:v>46342.75</x:v>
      </x:c>
      <x:c r="AM6" s="39" t="n">
        <x:v>46349.75</x:v>
      </x:c>
      <x:c r="AN6" s="39" t="n">
        <x:v>46356.75</x:v>
      </x:c>
      <x:c r="AO6" s="39" t="n">
        <x:v>46363.75</x:v>
      </x:c>
      <x:c r="AP6" s="39" t="n">
        <x:v>46370.75</x:v>
      </x:c>
      <x:c r="AQ6" s="39" t="n">
        <x:v>46377.75</x:v>
      </x:c>
      <x:c r="AR6" s="39" t="n">
        <x:v>46384.75</x:v>
      </x:c>
    </x:row>
    <x:row r="7" ht="32" customHeight="1">
      <x:c r="A7" s="28" t="str">
        <x:v>P0-01</x:v>
      </x:c>
      <x:c r="B7" s="31" t="str">
        <x:v>Phase 0 - Repository</x:v>
      </x:c>
      <x:c r="C7" s="31" t="str">
        <x:v>Repository organization and documentation baseline</x:v>
      </x:c>
      <x:c r="D7" s="32" t="str">
        <x:v>Codex</x:v>
      </x:c>
      <x:c r="E7" s="32" t="str">
        <x:v>Complete</x:v>
      </x:c>
      <x:c r="F7" s="32" t="str">
        <x:v>High</x:v>
      </x:c>
      <x:c r="G7" s="32" t="n">
        <x:v>5</x:v>
      </x:c>
      <x:c r="H7" s="33" t="n">
        <x:v>46174.708333333336</x:v>
      </x:c>
      <x:c r="I7" s="33" t="n">
        <x:f>IF(OR(H7="",G7=""),"",H7+G7-1)</x:f>
        <x:v>46178.708333333336</x:v>
      </x:c>
      <x:c r="J7" s="34" t="n">
        <x:v>1</x:v>
      </x:c>
      <x:c r="K7" s="31" t="str"/>
      <x:c r="L7" s="31" t="str">
        <x:v>ROADMAP Phase 0</x:v>
      </x:c>
      <x:c r="M7" s="31" t="str">
        <x:v>Completed before hardware bring-up</x:v>
      </x:c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41"/>
      <x:c r="AF7" s="41"/>
      <x:c r="AG7" s="41"/>
      <x:c r="AH7" s="41"/>
      <x:c r="AI7" s="41"/>
      <x:c r="AJ7" s="41"/>
      <x:c r="AK7" s="41"/>
      <x:c r="AL7" s="41"/>
      <x:c r="AM7" s="41"/>
      <x:c r="AN7" s="41"/>
      <x:c r="AO7" s="41"/>
      <x:c r="AP7" s="41"/>
      <x:c r="AQ7" s="41"/>
      <x:c r="AR7" s="41"/>
    </x:row>
    <x:row r="8" ht="32" customHeight="1">
      <x:c r="A8" s="28" t="str">
        <x:v>P1-01</x:v>
      </x:c>
      <x:c r="B8" s="31" t="str">
        <x:v>Phase 1 - Electrical</x:v>
      </x:c>
      <x:c r="C8" s="31" t="str">
        <x:v>Inventory and photograph RP23CNC kits and PCB revision (E-16)</x:v>
      </x:c>
      <x:c r="D8" s="32" t="str">
        <x:v>Project Owner</x:v>
      </x:c>
      <x:c r="E8" s="32" t="str">
        <x:v>Not Started</x:v>
      </x:c>
      <x:c r="F8" s="32" t="str">
        <x:v>High</x:v>
      </x:c>
      <x:c r="G8" s="32" t="n">
        <x:v>2</x:v>
      </x:c>
      <x:c r="H8" s="33" t="n">
        <x:v>46188.708333333336</x:v>
      </x:c>
      <x:c r="I8" s="33" t="n">
        <x:f>IF(OR(H8="",G8=""),"",H8+G8-1)</x:f>
        <x:v>46189.708333333336</x:v>
      </x:c>
      <x:c r="J8" s="34" t="n">
        <x:v>0</x:v>
      </x:c>
      <x:c r="K8" s="31" t="str"/>
      <x:c r="L8" s="31" t="str">
        <x:v>Photo + E-16 lab note</x:v>
      </x:c>
      <x:c r="M8" s="31" t="str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41"/>
      <x:c r="AF8" s="41"/>
      <x:c r="AG8" s="41"/>
      <x:c r="AH8" s="41"/>
      <x:c r="AI8" s="41"/>
      <x:c r="AJ8" s="41"/>
      <x:c r="AK8" s="41"/>
      <x:c r="AL8" s="41"/>
      <x:c r="AM8" s="41"/>
      <x:c r="AN8" s="41"/>
      <x:c r="AO8" s="41"/>
      <x:c r="AP8" s="41"/>
      <x:c r="AQ8" s="41"/>
      <x:c r="AR8" s="41"/>
    </x:row>
    <x:row r="9" ht="32" customHeight="1">
      <x:c r="A9" s="28" t="str">
        <x:v>P1-02</x:v>
      </x:c>
      <x:c r="B9" s="31" t="str">
        <x:v>Phase 1 - Electrical</x:v>
      </x:c>
      <x:c r="C9" s="31" t="str">
        <x:v>Solder and inspect RP23CNC connectors and Ethernet components (E-17)</x:v>
      </x:c>
      <x:c r="D9" s="32" t="str">
        <x:v>Project Owner</x:v>
      </x:c>
      <x:c r="E9" s="32" t="str">
        <x:v>Not Started</x:v>
      </x:c>
      <x:c r="F9" s="32" t="str">
        <x:v>High</x:v>
      </x:c>
      <x:c r="G9" s="32" t="n">
        <x:v>4</x:v>
      </x:c>
      <x:c r="H9" s="33" t="n">
        <x:v>46190.708333333336</x:v>
      </x:c>
      <x:c r="I9" s="33" t="n">
        <x:f>IF(OR(H9="",G9=""),"",H9+G9-1)</x:f>
        <x:v>46193.708333333336</x:v>
      </x:c>
      <x:c r="J9" s="34" t="n">
        <x:v>0</x:v>
      </x:c>
      <x:c r="K9" s="31" t="str">
        <x:v>P1-01</x:v>
      </x:c>
      <x:c r="L9" s="31" t="str">
        <x:v>Photos + continuity results</x:v>
      </x:c>
      <x:c r="M9" s="31" t="str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41"/>
      <x:c r="AF9" s="41"/>
      <x:c r="AG9" s="41"/>
      <x:c r="AH9" s="41"/>
      <x:c r="AI9" s="41"/>
      <x:c r="AJ9" s="41"/>
      <x:c r="AK9" s="41"/>
      <x:c r="AL9" s="41"/>
      <x:c r="AM9" s="41"/>
      <x:c r="AN9" s="41"/>
      <x:c r="AO9" s="41"/>
      <x:c r="AP9" s="41"/>
      <x:c r="AQ9" s="41"/>
      <x:c r="AR9" s="41"/>
    </x:row>
    <x:row r="10" ht="32" customHeight="1">
      <x:c r="A10" s="28" t="str">
        <x:v>P1-03</x:v>
      </x:c>
      <x:c r="B10" s="31" t="str">
        <x:v>Phase 1 - Electrical</x:v>
      </x:c>
      <x:c r="C10" s="31" t="str">
        <x:v>Identify driver, sensor, and module revisions</x:v>
      </x:c>
      <x:c r="D10" s="32" t="str">
        <x:v>Project Owner</x:v>
      </x:c>
      <x:c r="E10" s="32" t="str">
        <x:v>Not Started</x:v>
      </x:c>
      <x:c r="F10" s="32" t="str">
        <x:v>Medium</x:v>
      </x:c>
      <x:c r="G10" s="32" t="n">
        <x:v>2</x:v>
      </x:c>
      <x:c r="H10" s="33" t="n">
        <x:v>46190.708333333336</x:v>
      </x:c>
      <x:c r="I10" s="33" t="n">
        <x:f>IF(OR(H10="",G10=""),"",H10+G10-1)</x:f>
        <x:v>46191.708333333336</x:v>
      </x:c>
      <x:c r="J10" s="34" t="n">
        <x:v>0</x:v>
      </x:c>
      <x:c r="K10" s="31" t="str">
        <x:v>P1-01</x:v>
      </x:c>
      <x:c r="L10" s="31" t="str">
        <x:v>Component photos</x:v>
      </x:c>
      <x:c r="M10" s="31" t="str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41"/>
      <x:c r="AF10" s="41"/>
      <x:c r="AG10" s="41"/>
      <x:c r="AH10" s="41"/>
      <x:c r="AI10" s="41"/>
      <x:c r="AJ10" s="41"/>
      <x:c r="AK10" s="41"/>
      <x:c r="AL10" s="41"/>
      <x:c r="AM10" s="41"/>
      <x:c r="AN10" s="41"/>
      <x:c r="AO10" s="41"/>
      <x:c r="AP10" s="41"/>
      <x:c r="AQ10" s="41"/>
      <x:c r="AR10" s="41"/>
    </x:row>
    <x:row r="11" ht="32" customHeight="1">
      <x:c r="A11" s="28" t="str">
        <x:v>P1-04</x:v>
      </x:c>
      <x:c r="B11" s="31" t="str">
        <x:v>Phase 1 - Electrical</x:v>
      </x:c>
      <x:c r="C11" s="31" t="str">
        <x:v>Verify S-120-12 labels, earth continuity, and no-load output (E-11)</x:v>
      </x:c>
      <x:c r="D11" s="32" t="str">
        <x:v>Project Owner</x:v>
      </x:c>
      <x:c r="E11" s="32" t="str">
        <x:v>Not Started</x:v>
      </x:c>
      <x:c r="F11" s="32" t="str">
        <x:v>High</x:v>
      </x:c>
      <x:c r="G11" s="32" t="n">
        <x:v>2</x:v>
      </x:c>
      <x:c r="H11" s="33" t="n">
        <x:v>46195.708333333336</x:v>
      </x:c>
      <x:c r="I11" s="33" t="n">
        <x:f>IF(OR(H11="",G11=""),"",H11+G11-1)</x:f>
        <x:v>46196.708333333336</x:v>
      </x:c>
      <x:c r="J11" s="34" t="n">
        <x:v>0</x:v>
      </x:c>
      <x:c r="K11" s="31" t="str">
        <x:v>P1-02</x:v>
      </x:c>
      <x:c r="L11" s="31" t="str">
        <x:v>E-11 lab note</x:v>
      </x:c>
      <x:c r="M11" s="31" t="str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41"/>
      <x:c r="AF11" s="41"/>
      <x:c r="AG11" s="41"/>
      <x:c r="AH11" s="41"/>
      <x:c r="AI11" s="41"/>
      <x:c r="AJ11" s="41"/>
      <x:c r="AK11" s="41"/>
      <x:c r="AL11" s="41"/>
      <x:c r="AM11" s="41"/>
      <x:c r="AN11" s="41"/>
      <x:c r="AO11" s="41"/>
      <x:c r="AP11" s="41"/>
      <x:c r="AQ11" s="41"/>
      <x:c r="AR11" s="41"/>
    </x:row>
    <x:row r="12" ht="32" customHeight="1">
      <x:c r="A12" s="28" t="str">
        <x:v>P1-05</x:v>
      </x:c>
      <x:c r="B12" s="31" t="str">
        <x:v>Phase 1 - Electrical</x:v>
      </x:c>
      <x:c r="C12" s="31" t="str">
        <x:v>Measure stepper coil pairs and resistance (E-01)</x:v>
      </x:c>
      <x:c r="D12" s="32" t="str">
        <x:v>Project Owner</x:v>
      </x:c>
      <x:c r="E12" s="32" t="str">
        <x:v>Not Started</x:v>
      </x:c>
      <x:c r="F12" s="32" t="str">
        <x:v>High</x:v>
      </x:c>
      <x:c r="G12" s="32" t="n">
        <x:v>1</x:v>
      </x:c>
      <x:c r="H12" s="33" t="n">
        <x:v>46197.708333333336</x:v>
      </x:c>
      <x:c r="I12" s="33" t="n">
        <x:f>IF(OR(H12="",G12=""),"",H12+G12-1)</x:f>
        <x:v>46197.708333333336</x:v>
      </x:c>
      <x:c r="J12" s="34" t="n">
        <x:v>0</x:v>
      </x:c>
      <x:c r="K12" s="31" t="str">
        <x:v>P1-04</x:v>
      </x:c>
      <x:c r="L12" s="31" t="str">
        <x:v>E-01 results</x:v>
      </x:c>
      <x:c r="M12" s="31" t="str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41"/>
      <x:c r="AF12" s="41"/>
      <x:c r="AG12" s="41"/>
      <x:c r="AH12" s="41"/>
      <x:c r="AI12" s="41"/>
      <x:c r="AJ12" s="41"/>
      <x:c r="AK12" s="41"/>
      <x:c r="AL12" s="41"/>
      <x:c r="AM12" s="41"/>
      <x:c r="AN12" s="41"/>
      <x:c r="AO12" s="41"/>
      <x:c r="AP12" s="41"/>
      <x:c r="AQ12" s="41"/>
      <x:c r="AR12" s="41"/>
    </x:row>
    <x:row r="13" ht="32" customHeight="1">
      <x:c r="A13" s="28" t="str">
        <x:v>P1-06</x:v>
      </x:c>
      <x:c r="B13" s="31" t="str">
        <x:v>Phase 1 - Electrical</x:v>
      </x:c>
      <x:c r="C13" s="31" t="str">
        <x:v>Document TB6600 switches and verify STEP/DIR behavior (E-02/E-03)</x:v>
      </x:c>
      <x:c r="D13" s="32" t="str">
        <x:v>Project Owner</x:v>
      </x:c>
      <x:c r="E13" s="32" t="str">
        <x:v>Not Started</x:v>
      </x:c>
      <x:c r="F13" s="32" t="str">
        <x:v>High</x:v>
      </x:c>
      <x:c r="G13" s="32" t="n">
        <x:v>3</x:v>
      </x:c>
      <x:c r="H13" s="33" t="n">
        <x:v>46198.708333333336</x:v>
      </x:c>
      <x:c r="I13" s="33" t="n">
        <x:f>IF(OR(H13="",G13=""),"",H13+G13-1)</x:f>
        <x:v>46200.708333333336</x:v>
      </x:c>
      <x:c r="J13" s="34" t="n">
        <x:v>0</x:v>
      </x:c>
      <x:c r="K13" s="31" t="str">
        <x:v>P1-05</x:v>
      </x:c>
      <x:c r="L13" s="31" t="str">
        <x:v>E-02/E-03 results</x:v>
      </x:c>
      <x:c r="M13" s="31" t="str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41"/>
      <x:c r="AF13" s="41"/>
      <x:c r="AG13" s="41"/>
      <x:c r="AH13" s="41"/>
      <x:c r="AI13" s="41"/>
      <x:c r="AJ13" s="41"/>
      <x:c r="AK13" s="41"/>
      <x:c r="AL13" s="41"/>
      <x:c r="AM13" s="41"/>
      <x:c r="AN13" s="41"/>
      <x:c r="AO13" s="41"/>
      <x:c r="AP13" s="41"/>
      <x:c r="AQ13" s="41"/>
      <x:c r="AR13" s="41"/>
    </x:row>
    <x:row r="14" ht="32" customHeight="1">
      <x:c r="A14" s="28" t="str">
        <x:v>P1-07</x:v>
      </x:c>
      <x:c r="B14" s="31" t="str">
        <x:v>Phase 1 - Electrical</x:v>
      </x:c>
      <x:c r="C14" s="31" t="str">
        <x:v>Characterize N20 actuator current (E-05/E-06)</x:v>
      </x:c>
      <x:c r="D14" s="32" t="str">
        <x:v>Project Owner</x:v>
      </x:c>
      <x:c r="E14" s="32" t="str">
        <x:v>Not Started</x:v>
      </x:c>
      <x:c r="F14" s="32" t="str">
        <x:v>High</x:v>
      </x:c>
      <x:c r="G14" s="32" t="n">
        <x:v>2</x:v>
      </x:c>
      <x:c r="H14" s="33" t="n">
        <x:v>46202.708333333336</x:v>
      </x:c>
      <x:c r="I14" s="33" t="n">
        <x:f>IF(OR(H14="",G14=""),"",H14+G14-1)</x:f>
        <x:v>46203.708333333336</x:v>
      </x:c>
      <x:c r="J14" s="34" t="n">
        <x:v>0</x:v>
      </x:c>
      <x:c r="K14" s="31" t="str">
        <x:v>P1-04</x:v>
      </x:c>
      <x:c r="L14" s="31" t="str">
        <x:v>E-05/E-06 results</x:v>
      </x:c>
      <x:c r="M14" s="31" t="str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41"/>
      <x:c r="AF14" s="41"/>
      <x:c r="AG14" s="41"/>
      <x:c r="AH14" s="41"/>
      <x:c r="AI14" s="41"/>
      <x:c r="AJ14" s="41"/>
      <x:c r="AK14" s="41"/>
      <x:c r="AL14" s="41"/>
      <x:c r="AM14" s="41"/>
      <x:c r="AN14" s="41"/>
      <x:c r="AO14" s="41"/>
      <x:c r="AP14" s="41"/>
      <x:c r="AQ14" s="41"/>
      <x:c r="AR14" s="41"/>
    </x:row>
    <x:row r="15" ht="32" customHeight="1">
      <x:c r="A15" s="28" t="str">
        <x:v>P1-08</x:v>
      </x:c>
      <x:c r="B15" s="31" t="str">
        <x:v>Phase 1 - Electrical</x:v>
      </x:c>
      <x:c r="C15" s="31" t="str">
        <x:v>Calibrate load cell and characterize HX711 rate/noise (E-07/E-08)</x:v>
      </x:c>
      <x:c r="D15" s="32" t="str">
        <x:v>Project Owner</x:v>
      </x:c>
      <x:c r="E15" s="32" t="str">
        <x:v>Not Started</x:v>
      </x:c>
      <x:c r="F15" s="32" t="str">
        <x:v>High</x:v>
      </x:c>
      <x:c r="G15" s="32" t="n">
        <x:v>4</x:v>
      </x:c>
      <x:c r="H15" s="33" t="n">
        <x:v>46204.708333333336</x:v>
      </x:c>
      <x:c r="I15" s="33" t="n">
        <x:f>IF(OR(H15="",G15=""),"",H15+G15-1)</x:f>
        <x:v>46207.708333333336</x:v>
      </x:c>
      <x:c r="J15" s="34" t="n">
        <x:v>0</x:v>
      </x:c>
      <x:c r="K15" s="31" t="str">
        <x:v>P1-07</x:v>
      </x:c>
      <x:c r="L15" s="31" t="str">
        <x:v>Calibration data</x:v>
      </x:c>
      <x:c r="M15" s="31" t="str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41"/>
      <x:c r="AF15" s="41"/>
      <x:c r="AG15" s="41"/>
      <x:c r="AH15" s="41"/>
      <x:c r="AI15" s="41"/>
      <x:c r="AJ15" s="41"/>
      <x:c r="AK15" s="41"/>
      <x:c r="AL15" s="41"/>
      <x:c r="AM15" s="41"/>
      <x:c r="AN15" s="41"/>
      <x:c r="AO15" s="41"/>
      <x:c r="AP15" s="41"/>
      <x:c r="AQ15" s="41"/>
      <x:c r="AR15" s="41"/>
    </x:row>
    <x:row r="16" ht="32" customHeight="1">
      <x:c r="A16" s="28" t="str">
        <x:v>P1-09</x:v>
      </x:c>
      <x:c r="B16" s="31" t="str">
        <x:v>Phase 1 - Electrical</x:v>
      </x:c>
      <x:c r="C16" s="31" t="str">
        <x:v>Verify TMAG5273 readings and geometry (E-09)</x:v>
      </x:c>
      <x:c r="D16" s="32" t="str">
        <x:v>Project Owner</x:v>
      </x:c>
      <x:c r="E16" s="32" t="str">
        <x:v>Not Started</x:v>
      </x:c>
      <x:c r="F16" s="32" t="str">
        <x:v>Medium</x:v>
      </x:c>
      <x:c r="G16" s="32" t="n">
        <x:v>2</x:v>
      </x:c>
      <x:c r="H16" s="33" t="n">
        <x:v>46209.708333333336</x:v>
      </x:c>
      <x:c r="I16" s="33" t="n">
        <x:f>IF(OR(H16="",G16=""),"",H16+G16-1)</x:f>
        <x:v>46210.708333333336</x:v>
      </x:c>
      <x:c r="J16" s="34" t="n">
        <x:v>0</x:v>
      </x:c>
      <x:c r="K16" s="31" t="str">
        <x:v>P1-08</x:v>
      </x:c>
      <x:c r="L16" s="31" t="str">
        <x:v>E-09 results</x:v>
      </x:c>
      <x:c r="M16" s="31" t="str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41"/>
      <x:c r="AF16" s="41"/>
      <x:c r="AG16" s="41"/>
      <x:c r="AH16" s="41"/>
      <x:c r="AI16" s="41"/>
      <x:c r="AJ16" s="41"/>
      <x:c r="AK16" s="41"/>
      <x:c r="AL16" s="41"/>
      <x:c r="AM16" s="41"/>
      <x:c r="AN16" s="41"/>
      <x:c r="AO16" s="41"/>
      <x:c r="AP16" s="41"/>
      <x:c r="AQ16" s="41"/>
      <x:c r="AR16" s="41"/>
    </x:row>
    <x:row r="17" ht="32" customHeight="1">
      <x:c r="A17" s="28" t="str">
        <x:v>P1-10</x:v>
      </x:c>
      <x:c r="B17" s="31" t="str">
        <x:v>Phase 1 - Electrical</x:v>
      </x:c>
      <x:c r="C17" s="31" t="str">
        <x:v>Configure and load-test 6 V buck converter (E-14/E-15)</x:v>
      </x:c>
      <x:c r="D17" s="32" t="str">
        <x:v>Project Owner</x:v>
      </x:c>
      <x:c r="E17" s="32" t="str">
        <x:v>Not Started</x:v>
      </x:c>
      <x:c r="F17" s="32" t="str">
        <x:v>High</x:v>
      </x:c>
      <x:c r="G17" s="32" t="n">
        <x:v>3</x:v>
      </x:c>
      <x:c r="H17" s="33" t="n">
        <x:v>46211.708333333336</x:v>
      </x:c>
      <x:c r="I17" s="33" t="n">
        <x:f>IF(OR(H17="",G17=""),"",H17+G17-1)</x:f>
        <x:v>46213.708333333336</x:v>
      </x:c>
      <x:c r="J17" s="34" t="n">
        <x:v>0</x:v>
      </x:c>
      <x:c r="K17" s="31" t="str">
        <x:v>P1-07</x:v>
      </x:c>
      <x:c r="L17" s="31" t="str">
        <x:v>E-14/E-15 results</x:v>
      </x:c>
      <x:c r="M17" s="31" t="str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41"/>
      <x:c r="AF17" s="41"/>
      <x:c r="AG17" s="41"/>
      <x:c r="AH17" s="41"/>
      <x:c r="AI17" s="41"/>
      <x:c r="AJ17" s="41"/>
      <x:c r="AK17" s="41"/>
      <x:c r="AL17" s="41"/>
      <x:c r="AM17" s="41"/>
      <x:c r="AN17" s="41"/>
      <x:c r="AO17" s="41"/>
      <x:c r="AP17" s="41"/>
      <x:c r="AQ17" s="41"/>
      <x:c r="AR17" s="41"/>
    </x:row>
    <x:row r="18" ht="32" customHeight="1">
      <x:c r="A18" s="28" t="str">
        <x:v>P1-11</x:v>
      </x:c>
      <x:c r="B18" s="31" t="str">
        <x:v>Phase 1 - Electrical</x:v>
      </x:c>
      <x:c r="C18" s="31" t="str">
        <x:v>Complete power budget, fuses, wire gauges, and wiring evidence</x:v>
      </x:c>
      <x:c r="D18" s="32" t="str">
        <x:v>Project Owner</x:v>
      </x:c>
      <x:c r="E18" s="32" t="str">
        <x:v>Not Started</x:v>
      </x:c>
      <x:c r="F18" s="32" t="str">
        <x:v>High</x:v>
      </x:c>
      <x:c r="G18" s="32" t="n">
        <x:v>4</x:v>
      </x:c>
      <x:c r="H18" s="33" t="n">
        <x:v>46216.708333333336</x:v>
      </x:c>
      <x:c r="I18" s="33" t="n">
        <x:f>IF(OR(H18="",G18=""),"",H18+G18-1)</x:f>
        <x:v>46219.708333333336</x:v>
      </x:c>
      <x:c r="J18" s="34" t="n">
        <x:v>0</x:v>
      </x:c>
      <x:c r="K18" s="31" t="str">
        <x:v>P1-04,P1-10</x:v>
      </x:c>
      <x:c r="L18" s="31" t="str">
        <x:v>BOM + wiring table</x:v>
      </x:c>
      <x:c r="M18" s="31" t="str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41"/>
      <x:c r="AF18" s="41"/>
      <x:c r="AG18" s="41"/>
      <x:c r="AH18" s="41"/>
      <x:c r="AI18" s="41"/>
      <x:c r="AJ18" s="41"/>
      <x:c r="AK18" s="41"/>
      <x:c r="AL18" s="41"/>
      <x:c r="AM18" s="41"/>
      <x:c r="AN18" s="41"/>
      <x:c r="AO18" s="41"/>
      <x:c r="AP18" s="41"/>
      <x:c r="AQ18" s="41"/>
      <x:c r="AR18" s="41"/>
    </x:row>
    <x:row r="19" ht="32" customHeight="1">
      <x:c r="A19" s="28" t="str">
        <x:v>P1-GATE</x:v>
      </x:c>
      <x:c r="B19" s="31" t="str">
        <x:v>Phase 1 - Electrical</x:v>
      </x:c>
      <x:c r="C19" s="31" t="str">
        <x:v>Milestone: electrical characterization gate</x:v>
      </x:c>
      <x:c r="D19" s="32" t="str">
        <x:v>Project Owner</x:v>
      </x:c>
      <x:c r="E19" s="32" t="str">
        <x:v>Not Started</x:v>
      </x:c>
      <x:c r="F19" s="32" t="str">
        <x:v>High</x:v>
      </x:c>
      <x:c r="G19" s="32" t="n">
        <x:v>1</x:v>
      </x:c>
      <x:c r="H19" s="33" t="n">
        <x:v>46220.708333333336</x:v>
      </x:c>
      <x:c r="I19" s="33" t="n">
        <x:f>IF(OR(H19="",G19=""),"",H19+G19-1)</x:f>
        <x:v>46220.708333333336</x:v>
      </x:c>
      <x:c r="J19" s="34" t="n">
        <x:v>0</x:v>
      </x:c>
      <x:c r="K19" s="31" t="str">
        <x:v>P1-11</x:v>
      </x:c>
      <x:c r="L19" s="31" t="str">
        <x:v>Phase 1 checklist</x:v>
      </x:c>
      <x:c r="M19" s="31" t="str">
        <x:v>All compatibility gates resolved</x:v>
      </x:c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41"/>
      <x:c r="AF19" s="41"/>
      <x:c r="AG19" s="41"/>
      <x:c r="AH19" s="41"/>
      <x:c r="AI19" s="41"/>
      <x:c r="AJ19" s="41"/>
      <x:c r="AK19" s="41"/>
      <x:c r="AL19" s="41"/>
      <x:c r="AM19" s="41"/>
      <x:c r="AN19" s="41"/>
      <x:c r="AO19" s="41"/>
      <x:c r="AP19" s="41"/>
      <x:c r="AQ19" s="41"/>
      <x:c r="AR19" s="41"/>
    </x:row>
    <x:row r="20" ht="32" customHeight="1">
      <x:c r="A20" s="28" t="str">
        <x:v>P2-01</x:v>
      </x:c>
      <x:c r="B20" s="31" t="str">
        <x:v>Phase 2 - Controller</x:v>
      </x:c>
      <x:c r="C20" s="31" t="str">
        <x:v>Build or obtain RP23CNC-compatible grblHAL firmware</x:v>
      </x:c>
      <x:c r="D20" s="32" t="str">
        <x:v>Codex</x:v>
      </x:c>
      <x:c r="E20" s="32" t="str">
        <x:v>Not Started</x:v>
      </x:c>
      <x:c r="F20" s="32" t="str">
        <x:v>High</x:v>
      </x:c>
      <x:c r="G20" s="32" t="n">
        <x:v>5</x:v>
      </x:c>
      <x:c r="H20" s="33" t="n">
        <x:v>46223.708333333336</x:v>
      </x:c>
      <x:c r="I20" s="33" t="n">
        <x:f>IF(OR(H20="",G20=""),"",H20+G20-1)</x:f>
        <x:v>46227.708333333336</x:v>
      </x:c>
      <x:c r="J20" s="34" t="n">
        <x:v>0</x:v>
      </x:c>
      <x:c r="K20" s="31" t="str">
        <x:v>P1-GATE</x:v>
      </x:c>
      <x:c r="L20" s="31" t="str">
        <x:v>Build record</x:v>
      </x:c>
      <x:c r="M20" s="31" t="str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41"/>
      <x:c r="AF20" s="41"/>
      <x:c r="AG20" s="41"/>
      <x:c r="AH20" s="41"/>
      <x:c r="AI20" s="41"/>
      <x:c r="AJ20" s="41"/>
      <x:c r="AK20" s="41"/>
      <x:c r="AL20" s="41"/>
      <x:c r="AM20" s="41"/>
      <x:c r="AN20" s="41"/>
      <x:c r="AO20" s="41"/>
      <x:c r="AP20" s="41"/>
      <x:c r="AQ20" s="41"/>
      <x:c r="AR20" s="41"/>
    </x:row>
    <x:row r="21" ht="32" customHeight="1">
      <x:c r="A21" s="28" t="str">
        <x:v>P2-02</x:v>
      </x:c>
      <x:c r="B21" s="31" t="str">
        <x:v>Phase 2 - Controller</x:v>
      </x:c>
      <x:c r="C21" s="31" t="str">
        <x:v>Archive source commits, board target, plugins, and options</x:v>
      </x:c>
      <x:c r="D21" s="32" t="str">
        <x:v>Codex</x:v>
      </x:c>
      <x:c r="E21" s="32" t="str">
        <x:v>Not Started</x:v>
      </x:c>
      <x:c r="F21" s="32" t="str">
        <x:v>Medium</x:v>
      </x:c>
      <x:c r="G21" s="32" t="n">
        <x:v>2</x:v>
      </x:c>
      <x:c r="H21" s="33" t="n">
        <x:v>46226.708333333336</x:v>
      </x:c>
      <x:c r="I21" s="33" t="n">
        <x:f>IF(OR(H21="",G21=""),"",H21+G21-1)</x:f>
        <x:v>46227.708333333336</x:v>
      </x:c>
      <x:c r="J21" s="34" t="n">
        <x:v>0</x:v>
      </x:c>
      <x:c r="K21" s="31" t="str">
        <x:v>P2-01</x:v>
      </x:c>
      <x:c r="L21" s="31" t="str">
        <x:v>Firmware README</x:v>
      </x:c>
      <x:c r="M21" s="31" t="str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41"/>
      <x:c r="AF21" s="41"/>
      <x:c r="AG21" s="41"/>
      <x:c r="AH21" s="41"/>
      <x:c r="AI21" s="41"/>
      <x:c r="AJ21" s="41"/>
      <x:c r="AK21" s="41"/>
      <x:c r="AL21" s="41"/>
      <x:c r="AM21" s="41"/>
      <x:c r="AN21" s="41"/>
      <x:c r="AO21" s="41"/>
      <x:c r="AP21" s="41"/>
      <x:c r="AQ21" s="41"/>
      <x:c r="AR21" s="41"/>
    </x:row>
    <x:row r="22" ht="32" customHeight="1">
      <x:c r="A22" s="28" t="str">
        <x:v>P2-03</x:v>
      </x:c>
      <x:c r="B22" s="31" t="str">
        <x:v>Phase 2 - Controller</x:v>
      </x:c>
      <x:c r="C22" s="31" t="str">
        <x:v>Flash board and verify USB/Ethernet communication (F-01)</x:v>
      </x:c>
      <x:c r="D22" s="32" t="str">
        <x:v>Project Owner</x:v>
      </x:c>
      <x:c r="E22" s="32" t="str">
        <x:v>Not Started</x:v>
      </x:c>
      <x:c r="F22" s="32" t="str">
        <x:v>High</x:v>
      </x:c>
      <x:c r="G22" s="32" t="n">
        <x:v>3</x:v>
      </x:c>
      <x:c r="H22" s="33" t="n">
        <x:v>46230.708333333336</x:v>
      </x:c>
      <x:c r="I22" s="33" t="n">
        <x:f>IF(OR(H22="",G22=""),"",H22+G22-1)</x:f>
        <x:v>46232.708333333336</x:v>
      </x:c>
      <x:c r="J22" s="34" t="n">
        <x:v>0</x:v>
      </x:c>
      <x:c r="K22" s="31" t="str">
        <x:v>P2-01</x:v>
      </x:c>
      <x:c r="L22" s="31" t="str">
        <x:v>F-01 result</x:v>
      </x:c>
      <x:c r="M22" s="31" t="str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41"/>
      <x:c r="AF22" s="41"/>
      <x:c r="AG22" s="41"/>
      <x:c r="AH22" s="41"/>
      <x:c r="AI22" s="41"/>
      <x:c r="AJ22" s="41"/>
      <x:c r="AK22" s="41"/>
      <x:c r="AL22" s="41"/>
      <x:c r="AM22" s="41"/>
      <x:c r="AN22" s="41"/>
      <x:c r="AO22" s="41"/>
      <x:c r="AP22" s="41"/>
      <x:c r="AQ22" s="41"/>
      <x:c r="AR22" s="41"/>
    </x:row>
    <x:row r="23" ht="32" customHeight="1">
      <x:c r="A23" s="28" t="str">
        <x:v>P2-04</x:v>
      </x:c>
      <x:c r="B23" s="31" t="str">
        <x:v>Phase 2 - Controller</x:v>
      </x:c>
      <x:c r="C23" s="31" t="str">
        <x:v>Verify converter parser subset and unpowered STEP/DIR (F-02/F-03)</x:v>
      </x:c>
      <x:c r="D23" s="32" t="str">
        <x:v>Project Owner</x:v>
      </x:c>
      <x:c r="E23" s="32" t="str">
        <x:v>Not Started</x:v>
      </x:c>
      <x:c r="F23" s="32" t="str">
        <x:v>High</x:v>
      </x:c>
      <x:c r="G23" s="32" t="n">
        <x:v>3</x:v>
      </x:c>
      <x:c r="H23" s="33" t="n">
        <x:v>46233.708333333336</x:v>
      </x:c>
      <x:c r="I23" s="33" t="n">
        <x:f>IF(OR(H23="",G23=""),"",H23+G23-1)</x:f>
        <x:v>46235.708333333336</x:v>
      </x:c>
      <x:c r="J23" s="34" t="n">
        <x:v>0</x:v>
      </x:c>
      <x:c r="K23" s="31" t="str">
        <x:v>P2-03</x:v>
      </x:c>
      <x:c r="L23" s="31" t="str">
        <x:v>F-02/F-03 results</x:v>
      </x:c>
      <x:c r="M23" s="31" t="str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41"/>
      <x:c r="AF23" s="41"/>
      <x:c r="AG23" s="41"/>
      <x:c r="AH23" s="41"/>
      <x:c r="AI23" s="41"/>
      <x:c r="AJ23" s="41"/>
      <x:c r="AK23" s="41"/>
      <x:c r="AL23" s="41"/>
      <x:c r="AM23" s="41"/>
      <x:c r="AN23" s="41"/>
      <x:c r="AO23" s="41"/>
      <x:c r="AP23" s="41"/>
      <x:c r="AQ23" s="41"/>
      <x:c r="AR23" s="41"/>
    </x:row>
    <x:row r="24" ht="32" customHeight="1">
      <x:c r="A24" s="28" t="str">
        <x:v>P2-05</x:v>
      </x:c>
      <x:c r="B24" s="31" t="str">
        <x:v>Phase 2 - Controller</x:v>
      </x:c>
      <x:c r="C24" s="31" t="str">
        <x:v>Verify limit inputs, M3/M5 output, and settings persistence (F-04/F-05/F-06)</x:v>
      </x:c>
      <x:c r="D24" s="32" t="str">
        <x:v>Project Owner</x:v>
      </x:c>
      <x:c r="E24" s="32" t="str">
        <x:v>Not Started</x:v>
      </x:c>
      <x:c r="F24" s="32" t="str">
        <x:v>High</x:v>
      </x:c>
      <x:c r="G24" s="32" t="n">
        <x:v>4</x:v>
      </x:c>
      <x:c r="H24" s="33" t="n">
        <x:v>46237.708333333336</x:v>
      </x:c>
      <x:c r="I24" s="33" t="n">
        <x:f>IF(OR(H24="",G24=""),"",H24+G24-1)</x:f>
        <x:v>46240.708333333336</x:v>
      </x:c>
      <x:c r="J24" s="34" t="n">
        <x:v>0</x:v>
      </x:c>
      <x:c r="K24" s="31" t="str">
        <x:v>P2-04</x:v>
      </x:c>
      <x:c r="L24" s="31" t="str">
        <x:v>F-04 to F-06 results</x:v>
      </x:c>
      <x:c r="M24" s="31" t="str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41"/>
      <x:c r="AF24" s="41"/>
      <x:c r="AG24" s="41"/>
      <x:c r="AH24" s="41"/>
      <x:c r="AI24" s="41"/>
      <x:c r="AJ24" s="41"/>
      <x:c r="AK24" s="41"/>
      <x:c r="AL24" s="41"/>
      <x:c r="AM24" s="41"/>
      <x:c r="AN24" s="41"/>
      <x:c r="AO24" s="41"/>
      <x:c r="AP24" s="41"/>
      <x:c r="AQ24" s="41"/>
      <x:c r="AR24" s="41"/>
    </x:row>
    <x:row r="25" ht="32" customHeight="1">
      <x:c r="A25" s="28" t="str">
        <x:v>P2-GATE</x:v>
      </x:c>
      <x:c r="B25" s="31" t="str">
        <x:v>Phase 2 - Controller</x:v>
      </x:c>
      <x:c r="C25" s="31" t="str">
        <x:v>Milestone: controller baseline gate</x:v>
      </x:c>
      <x:c r="D25" s="32" t="str">
        <x:v>Project Owner</x:v>
      </x:c>
      <x:c r="E25" s="32" t="str">
        <x:v>Not Started</x:v>
      </x:c>
      <x:c r="F25" s="32" t="str">
        <x:v>High</x:v>
      </x:c>
      <x:c r="G25" s="32" t="n">
        <x:v>1</x:v>
      </x:c>
      <x:c r="H25" s="33" t="n">
        <x:v>46241.708333333336</x:v>
      </x:c>
      <x:c r="I25" s="33" t="n">
        <x:f>IF(OR(H25="",G25=""),"",H25+G25-1)</x:f>
        <x:v>46241.708333333336</x:v>
      </x:c>
      <x:c r="J25" s="34" t="n">
        <x:v>0</x:v>
      </x:c>
      <x:c r="K25" s="31" t="str">
        <x:v>P2-05</x:v>
      </x:c>
      <x:c r="L25" s="31" t="str">
        <x:v>Phase 2 checklist</x:v>
      </x:c>
      <x:c r="M25" s="31" t="str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41"/>
      <x:c r="AF25" s="41"/>
      <x:c r="AG25" s="41"/>
      <x:c r="AH25" s="41"/>
      <x:c r="AI25" s="41"/>
      <x:c r="AJ25" s="41"/>
      <x:c r="AK25" s="41"/>
      <x:c r="AL25" s="41"/>
      <x:c r="AM25" s="41"/>
      <x:c r="AN25" s="41"/>
      <x:c r="AO25" s="41"/>
      <x:c r="AP25" s="41"/>
      <x:c r="AQ25" s="41"/>
      <x:c r="AR25" s="41"/>
    </x:row>
    <x:row r="26" ht="32" customHeight="1">
      <x:c r="A26" s="28" t="str">
        <x:v>P3-01</x:v>
      </x:c>
      <x:c r="B26" s="31" t="str">
        <x:v>Phase 3 - Single Axis</x:v>
      </x:c>
      <x:c r="C26" s="31" t="str">
        <x:v>Configure one TB6600 and connect motor without mechanics</x:v>
      </x:c>
      <x:c r="D26" s="32" t="str">
        <x:v>Project Owner</x:v>
      </x:c>
      <x:c r="E26" s="32" t="str">
        <x:v>Not Started</x:v>
      </x:c>
      <x:c r="F26" s="32" t="str">
        <x:v>High</x:v>
      </x:c>
      <x:c r="G26" s="32" t="n">
        <x:v>2</x:v>
      </x:c>
      <x:c r="H26" s="33" t="n">
        <x:v>46244.708333333336</x:v>
      </x:c>
      <x:c r="I26" s="33" t="n">
        <x:f>IF(OR(H26="",G26=""),"",H26+G26-1)</x:f>
        <x:v>46245.708333333336</x:v>
      </x:c>
      <x:c r="J26" s="34" t="n">
        <x:v>0</x:v>
      </x:c>
      <x:c r="K26" s="31" t="str">
        <x:v>P2-GATE</x:v>
      </x:c>
      <x:c r="L26" s="31" t="str">
        <x:v>Configuration record</x:v>
      </x:c>
      <x:c r="M26" s="31" t="str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41"/>
      <x:c r="AF26" s="41"/>
      <x:c r="AG26" s="41"/>
      <x:c r="AH26" s="41"/>
      <x:c r="AI26" s="41"/>
      <x:c r="AJ26" s="41"/>
      <x:c r="AK26" s="41"/>
      <x:c r="AL26" s="41"/>
      <x:c r="AM26" s="41"/>
      <x:c r="AN26" s="41"/>
      <x:c r="AO26" s="41"/>
      <x:c r="AP26" s="41"/>
      <x:c r="AQ26" s="41"/>
      <x:c r="AR26" s="41"/>
    </x:row>
    <x:row r="27" ht="32" customHeight="1">
      <x:c r="A27" s="28" t="str">
        <x:v>P3-02</x:v>
      </x:c>
      <x:c r="B27" s="31" t="str">
        <x:v>Phase 3 - Single Axis</x:v>
      </x:c>
      <x:c r="C27" s="31" t="str">
        <x:v>Complete low-speed jog and temperature test (M-01)</x:v>
      </x:c>
      <x:c r="D27" s="32" t="str">
        <x:v>Project Owner</x:v>
      </x:c>
      <x:c r="E27" s="32" t="str">
        <x:v>Not Started</x:v>
      </x:c>
      <x:c r="F27" s="32" t="str">
        <x:v>High</x:v>
      </x:c>
      <x:c r="G27" s="32" t="n">
        <x:v>2</x:v>
      </x:c>
      <x:c r="H27" s="33" t="n">
        <x:v>46246.708333333336</x:v>
      </x:c>
      <x:c r="I27" s="33" t="n">
        <x:f>IF(OR(H27="",G27=""),"",H27+G27-1)</x:f>
        <x:v>46247.708333333336</x:v>
      </x:c>
      <x:c r="J27" s="34" t="n">
        <x:v>0</x:v>
      </x:c>
      <x:c r="K27" s="31" t="str">
        <x:v>P3-01</x:v>
      </x:c>
      <x:c r="L27" s="31" t="str">
        <x:v>M-01 result</x:v>
      </x:c>
      <x:c r="M27" s="31" t="str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41"/>
      <x:c r="AF27" s="41"/>
      <x:c r="AG27" s="41"/>
      <x:c r="AH27" s="41"/>
      <x:c r="AI27" s="41"/>
      <x:c r="AJ27" s="41"/>
      <x:c r="AK27" s="41"/>
      <x:c r="AL27" s="41"/>
      <x:c r="AM27" s="41"/>
      <x:c r="AN27" s="41"/>
      <x:c r="AO27" s="41"/>
      <x:c r="AP27" s="41"/>
      <x:c r="AQ27" s="41"/>
      <x:c r="AR27" s="41"/>
    </x:row>
    <x:row r="28" ht="32" customHeight="1">
      <x:c r="A28" s="28" t="str">
        <x:v>P3-03</x:v>
      </x:c>
      <x:c r="B28" s="31" t="str">
        <x:v>Phase 3 - Single Axis</x:v>
      </x:c>
      <x:c r="C28" s="31" t="str">
        <x:v>Ramp rate/acceleration and set conservative margin (M-02)</x:v>
      </x:c>
      <x:c r="D28" s="32" t="str">
        <x:v>Project Owner</x:v>
      </x:c>
      <x:c r="E28" s="32" t="str">
        <x:v>Not Started</x:v>
      </x:c>
      <x:c r="F28" s="32" t="str">
        <x:v>High</x:v>
      </x:c>
      <x:c r="G28" s="32" t="n">
        <x:v>3</x:v>
      </x:c>
      <x:c r="H28" s="33" t="n">
        <x:v>46248.708333333336</x:v>
      </x:c>
      <x:c r="I28" s="33" t="n">
        <x:f>IF(OR(H28="",G28=""),"",H28+G28-1)</x:f>
        <x:v>46250.708333333336</x:v>
      </x:c>
      <x:c r="J28" s="34" t="n">
        <x:v>0</x:v>
      </x:c>
      <x:c r="K28" s="31" t="str">
        <x:v>P3-02</x:v>
      </x:c>
      <x:c r="L28" s="31" t="str">
        <x:v>M-02 result</x:v>
      </x:c>
      <x:c r="M28" s="31" t="str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41"/>
      <x:c r="AF28" s="41"/>
      <x:c r="AG28" s="41"/>
      <x:c r="AH28" s="41"/>
      <x:c r="AI28" s="41"/>
      <x:c r="AJ28" s="41"/>
      <x:c r="AK28" s="41"/>
      <x:c r="AL28" s="41"/>
      <x:c r="AM28" s="41"/>
      <x:c r="AN28" s="41"/>
      <x:c r="AO28" s="41"/>
      <x:c r="AP28" s="41"/>
      <x:c r="AQ28" s="41"/>
      <x:c r="AR28" s="41"/>
    </x:row>
    <x:row r="29" ht="32" customHeight="1">
      <x:c r="A29" s="28" t="str">
        <x:v>P3-04</x:v>
      </x:c>
      <x:c r="B29" s="31" t="str">
        <x:v>Phase 3 - Single Axis</x:v>
      </x:c>
      <x:c r="C29" s="31" t="str">
        <x:v>Install and verify home/limit switch</x:v>
      </x:c>
      <x:c r="D29" s="32" t="str">
        <x:v>Project Owner</x:v>
      </x:c>
      <x:c r="E29" s="32" t="str">
        <x:v>Not Started</x:v>
      </x:c>
      <x:c r="F29" s="32" t="str">
        <x:v>Medium</x:v>
      </x:c>
      <x:c r="G29" s="32" t="n">
        <x:v>2</x:v>
      </x:c>
      <x:c r="H29" s="33" t="n">
        <x:v>46253.708333333336</x:v>
      </x:c>
      <x:c r="I29" s="33" t="n">
        <x:f>IF(OR(H29="",G29=""),"",H29+G29-1)</x:f>
        <x:v>46254.708333333336</x:v>
      </x:c>
      <x:c r="J29" s="34" t="n">
        <x:v>0</x:v>
      </x:c>
      <x:c r="K29" s="31" t="str">
        <x:v>P3-03</x:v>
      </x:c>
      <x:c r="L29" s="31" t="str">
        <x:v>Switch test</x:v>
      </x:c>
      <x:c r="M29" s="31" t="str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41"/>
      <x:c r="AF29" s="41"/>
      <x:c r="AG29" s="41"/>
      <x:c r="AH29" s="41"/>
      <x:c r="AI29" s="41"/>
      <x:c r="AJ29" s="41"/>
      <x:c r="AK29" s="41"/>
      <x:c r="AL29" s="41"/>
      <x:c r="AM29" s="41"/>
      <x:c r="AN29" s="41"/>
      <x:c r="AO29" s="41"/>
      <x:c r="AP29" s="41"/>
      <x:c r="AQ29" s="41"/>
      <x:c r="AR29" s="41"/>
    </x:row>
    <x:row r="30" ht="32" customHeight="1">
      <x:c r="A30" s="28" t="str">
        <x:v>P3-GATE</x:v>
      </x:c>
      <x:c r="B30" s="31" t="str">
        <x:v>Phase 3 - Single Axis</x:v>
      </x:c>
      <x:c r="C30" s="31" t="str">
        <x:v>Milestone: single-axis motion gate</x:v>
      </x:c>
      <x:c r="D30" s="32" t="str">
        <x:v>Project Owner</x:v>
      </x:c>
      <x:c r="E30" s="32" t="str">
        <x:v>Not Started</x:v>
      </x:c>
      <x:c r="F30" s="32" t="str">
        <x:v>High</x:v>
      </x:c>
      <x:c r="G30" s="32" t="n">
        <x:v>1</x:v>
      </x:c>
      <x:c r="H30" s="33" t="n">
        <x:v>46255.708333333336</x:v>
      </x:c>
      <x:c r="I30" s="33" t="n">
        <x:f>IF(OR(H30="",G30=""),"",H30+G30-1)</x:f>
        <x:v>46255.708333333336</x:v>
      </x:c>
      <x:c r="J30" s="34" t="n">
        <x:v>0</x:v>
      </x:c>
      <x:c r="K30" s="31" t="str">
        <x:v>P3-04</x:v>
      </x:c>
      <x:c r="L30" s="31" t="str">
        <x:v>Phase 3 checklist</x:v>
      </x:c>
      <x:c r="M30" s="31" t="str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41"/>
      <x:c r="AF30" s="41"/>
      <x:c r="AG30" s="41"/>
      <x:c r="AH30" s="41"/>
      <x:c r="AI30" s="41"/>
      <x:c r="AJ30" s="41"/>
      <x:c r="AK30" s="41"/>
      <x:c r="AL30" s="41"/>
      <x:c r="AM30" s="41"/>
      <x:c r="AN30" s="41"/>
      <x:c r="AO30" s="41"/>
      <x:c r="AP30" s="41"/>
      <x:c r="AQ30" s="41"/>
      <x:c r="AR30" s="41"/>
    </x:row>
    <x:row r="31" ht="32" customHeight="1">
      <x:c r="A31" s="28" t="str">
        <x:v>P4-01</x:v>
      </x:c>
      <x:c r="B31" s="31" t="str">
        <x:v>Phase 4 - Three Axis</x:v>
      </x:c>
      <x:c r="C31" s="31" t="str">
        <x:v>Bring up X, Y, and A motors and drivers</x:v>
      </x:c>
      <x:c r="D31" s="32" t="str">
        <x:v>Project Owner</x:v>
      </x:c>
      <x:c r="E31" s="32" t="str">
        <x:v>Not Started</x:v>
      </x:c>
      <x:c r="F31" s="32" t="str">
        <x:v>High</x:v>
      </x:c>
      <x:c r="G31" s="32" t="n">
        <x:v>4</x:v>
      </x:c>
      <x:c r="H31" s="33" t="n">
        <x:v>46258.708333333336</x:v>
      </x:c>
      <x:c r="I31" s="33" t="n">
        <x:f>IF(OR(H31="",G31=""),"",H31+G31-1)</x:f>
        <x:v>46261.708333333336</x:v>
      </x:c>
      <x:c r="J31" s="34" t="n">
        <x:v>0</x:v>
      </x:c>
      <x:c r="K31" s="31" t="str">
        <x:v>P3-GATE</x:v>
      </x:c>
      <x:c r="L31" s="31" t="str">
        <x:v>Bring-up notes</x:v>
      </x:c>
      <x:c r="M31" s="31" t="str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41"/>
      <x:c r="AF31" s="41"/>
      <x:c r="AG31" s="41"/>
      <x:c r="AH31" s="41"/>
      <x:c r="AI31" s="41"/>
      <x:c r="AJ31" s="41"/>
      <x:c r="AK31" s="41"/>
      <x:c r="AL31" s="41"/>
      <x:c r="AM31" s="41"/>
      <x:c r="AN31" s="41"/>
      <x:c r="AO31" s="41"/>
      <x:c r="AP31" s="41"/>
      <x:c r="AQ31" s="41"/>
      <x:c r="AR31" s="41"/>
    </x:row>
    <x:row r="32" ht="32" customHeight="1">
      <x:c r="A32" s="28" t="str">
        <x:v>P4-02</x:v>
      </x:c>
      <x:c r="B32" s="31" t="str">
        <x:v>Phase 4 - Three Axis</x:v>
      </x:c>
      <x:c r="C32" s="31" t="str">
        <x:v>Calibrate X/Y steps per mm and A motor degrees (M-03/M-04)</x:v>
      </x:c>
      <x:c r="D32" s="32" t="str">
        <x:v>Project Owner</x:v>
      </x:c>
      <x:c r="E32" s="32" t="str">
        <x:v>Not Started</x:v>
      </x:c>
      <x:c r="F32" s="32" t="str">
        <x:v>High</x:v>
      </x:c>
      <x:c r="G32" s="32" t="n">
        <x:v>4</x:v>
      </x:c>
      <x:c r="H32" s="33" t="n">
        <x:v>46262.708333333336</x:v>
      </x:c>
      <x:c r="I32" s="33" t="n">
        <x:f>IF(OR(H32="",G32=""),"",H32+G32-1)</x:f>
        <x:v>46265.708333333336</x:v>
      </x:c>
      <x:c r="J32" s="34" t="n">
        <x:v>0</x:v>
      </x:c>
      <x:c r="K32" s="31" t="str">
        <x:v>P4-01</x:v>
      </x:c>
      <x:c r="L32" s="31" t="str">
        <x:v>M-03/M-04 results</x:v>
      </x:c>
      <x:c r="M32" s="31" t="str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41"/>
      <x:c r="AF32" s="41"/>
      <x:c r="AG32" s="41"/>
      <x:c r="AH32" s="41"/>
      <x:c r="AI32" s="41"/>
      <x:c r="AJ32" s="41"/>
      <x:c r="AK32" s="41"/>
      <x:c r="AL32" s="41"/>
      <x:c r="AM32" s="41"/>
      <x:c r="AN32" s="41"/>
      <x:c r="AO32" s="41"/>
      <x:c r="AP32" s="41"/>
      <x:c r="AQ32" s="41"/>
      <x:c r="AR32" s="41"/>
    </x:row>
    <x:row r="33" ht="32" customHeight="1">
      <x:c r="A33" s="28" t="str">
        <x:v>P4-03</x:v>
      </x:c>
      <x:c r="B33" s="31" t="str">
        <x:v>Phase 4 - Three Axis</x:v>
      </x:c>
      <x:c r="C33" s="31" t="str">
        <x:v>Verify 12:1 bed ratio and tune rates/acceleration (M-05)</x:v>
      </x:c>
      <x:c r="D33" s="32" t="str">
        <x:v>Project Owner</x:v>
      </x:c>
      <x:c r="E33" s="32" t="str">
        <x:v>Not Started</x:v>
      </x:c>
      <x:c r="F33" s="32" t="str">
        <x:v>High</x:v>
      </x:c>
      <x:c r="G33" s="32" t="n">
        <x:v>3</x:v>
      </x:c>
      <x:c r="H33" s="33" t="n">
        <x:v>46268.708333333336</x:v>
      </x:c>
      <x:c r="I33" s="33" t="n">
        <x:f>IF(OR(H33="",G33=""),"",H33+G33-1)</x:f>
        <x:v>46270.708333333336</x:v>
      </x:c>
      <x:c r="J33" s="34" t="n">
        <x:v>0</x:v>
      </x:c>
      <x:c r="K33" s="31" t="str">
        <x:v>P4-02</x:v>
      </x:c>
      <x:c r="L33" s="31" t="str">
        <x:v>M-05 result</x:v>
      </x:c>
      <x:c r="M33" s="31" t="str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41"/>
      <x:c r="AF33" s="41"/>
      <x:c r="AG33" s="41"/>
      <x:c r="AH33" s="41"/>
      <x:c r="AI33" s="41"/>
      <x:c r="AJ33" s="41"/>
      <x:c r="AK33" s="41"/>
      <x:c r="AL33" s="41"/>
      <x:c r="AM33" s="41"/>
      <x:c r="AN33" s="41"/>
      <x:c r="AO33" s="41"/>
      <x:c r="AP33" s="41"/>
      <x:c r="AQ33" s="41"/>
      <x:c r="AR33" s="41"/>
    </x:row>
    <x:row r="34" ht="32" customHeight="1">
      <x:c r="A34" s="28" t="str">
        <x:v>P4-04</x:v>
      </x:c>
      <x:c r="B34" s="31" t="str">
        <x:v>Phase 4 - Three Axis</x:v>
      </x:c>
      <x:c r="C34" s="31" t="str">
        <x:v>Add homing and soft limits (M-07)</x:v>
      </x:c>
      <x:c r="D34" s="32" t="str">
        <x:v>Project Owner</x:v>
      </x:c>
      <x:c r="E34" s="32" t="str">
        <x:v>Not Started</x:v>
      </x:c>
      <x:c r="F34" s="32" t="str">
        <x:v>High</x:v>
      </x:c>
      <x:c r="G34" s="32" t="n">
        <x:v>3</x:v>
      </x:c>
      <x:c r="H34" s="33" t="n">
        <x:v>46273.708333333336</x:v>
      </x:c>
      <x:c r="I34" s="33" t="n">
        <x:f>IF(OR(H34="",G34=""),"",H34+G34-1)</x:f>
        <x:v>46275.708333333336</x:v>
      </x:c>
      <x:c r="J34" s="34" t="n">
        <x:v>0</x:v>
      </x:c>
      <x:c r="K34" s="31" t="str">
        <x:v>P4-03</x:v>
      </x:c>
      <x:c r="L34" s="31" t="str">
        <x:v>M-07 result</x:v>
      </x:c>
      <x:c r="M34" s="31" t="str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41"/>
      <x:c r="AF34" s="41"/>
      <x:c r="AG34" s="41"/>
      <x:c r="AH34" s="41"/>
      <x:c r="AI34" s="41"/>
      <x:c r="AJ34" s="41"/>
      <x:c r="AK34" s="41"/>
      <x:c r="AL34" s="41"/>
      <x:c r="AM34" s="41"/>
      <x:c r="AN34" s="41"/>
      <x:c r="AO34" s="41"/>
      <x:c r="AP34" s="41"/>
      <x:c r="AQ34" s="41"/>
      <x:c r="AR34" s="41"/>
    </x:row>
    <x:row r="35" ht="32" customHeight="1">
      <x:c r="A35" s="28" t="str">
        <x:v>P4-05</x:v>
      </x:c>
      <x:c r="B35" s="31" t="str">
        <x:v>Phase 4 - Three Axis</x:v>
      </x:c>
      <x:c r="C35" s="31" t="str">
        <x:v>Run coordinated tests and converter sample without tool (M-06)</x:v>
      </x:c>
      <x:c r="D35" s="32" t="str">
        <x:v>Project Owner</x:v>
      </x:c>
      <x:c r="E35" s="32" t="str">
        <x:v>Not Started</x:v>
      </x:c>
      <x:c r="F35" s="32" t="str">
        <x:v>High</x:v>
      </x:c>
      <x:c r="G35" s="32" t="n">
        <x:v>4</x:v>
      </x:c>
      <x:c r="H35" s="33" t="n">
        <x:v>46276.708333333336</x:v>
      </x:c>
      <x:c r="I35" s="33" t="n">
        <x:f>IF(OR(H35="",G35=""),"",H35+G35-1)</x:f>
        <x:v>46279.708333333336</x:v>
      </x:c>
      <x:c r="J35" s="34" t="n">
        <x:v>0</x:v>
      </x:c>
      <x:c r="K35" s="31" t="str">
        <x:v>P4-04</x:v>
      </x:c>
      <x:c r="L35" s="31" t="str">
        <x:v>M-06 result + G-code</x:v>
      </x:c>
      <x:c r="M35" s="31" t="str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41"/>
      <x:c r="AF35" s="41"/>
      <x:c r="AG35" s="41"/>
      <x:c r="AH35" s="41"/>
      <x:c r="AI35" s="41"/>
      <x:c r="AJ35" s="41"/>
      <x:c r="AK35" s="41"/>
      <x:c r="AL35" s="41"/>
      <x:c r="AM35" s="41"/>
      <x:c r="AN35" s="41"/>
      <x:c r="AO35" s="41"/>
      <x:c r="AP35" s="41"/>
      <x:c r="AQ35" s="41"/>
      <x:c r="AR35" s="41"/>
    </x:row>
    <x:row r="36" ht="32" customHeight="1">
      <x:c r="A36" s="28" t="str">
        <x:v>P4-GATE</x:v>
      </x:c>
      <x:c r="B36" s="31" t="str">
        <x:v>Phase 4 - Three Axis</x:v>
      </x:c>
      <x:c r="C36" s="31" t="str">
        <x:v>Milestone: three-axis motion gate</x:v>
      </x:c>
      <x:c r="D36" s="32" t="str">
        <x:v>Project Owner</x:v>
      </x:c>
      <x:c r="E36" s="32" t="str">
        <x:v>Not Started</x:v>
      </x:c>
      <x:c r="F36" s="32" t="str">
        <x:v>High</x:v>
      </x:c>
      <x:c r="G36" s="32" t="n">
        <x:v>1</x:v>
      </x:c>
      <x:c r="H36" s="33" t="n">
        <x:v>46282.708333333336</x:v>
      </x:c>
      <x:c r="I36" s="33" t="n">
        <x:f>IF(OR(H36="",G36=""),"",H36+G36-1)</x:f>
        <x:v>46282.708333333336</x:v>
      </x:c>
      <x:c r="J36" s="34" t="n">
        <x:v>0</x:v>
      </x:c>
      <x:c r="K36" s="31" t="str">
        <x:v>P4-05</x:v>
      </x:c>
      <x:c r="L36" s="31" t="str">
        <x:v>Phase 4 checklist</x:v>
      </x:c>
      <x:c r="M36" s="31" t="str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41"/>
      <x:c r="AF36" s="41"/>
      <x:c r="AG36" s="41"/>
      <x:c r="AH36" s="41"/>
      <x:c r="AI36" s="41"/>
      <x:c r="AJ36" s="41"/>
      <x:c r="AK36" s="41"/>
      <x:c r="AL36" s="41"/>
      <x:c r="AM36" s="41"/>
      <x:c r="AN36" s="41"/>
      <x:c r="AO36" s="41"/>
      <x:c r="AP36" s="41"/>
      <x:c r="AQ36" s="41"/>
      <x:c r="AR36" s="41"/>
    </x:row>
    <x:row r="37" ht="32" customHeight="1">
      <x:c r="A37" s="28" t="str">
        <x:v>P5-01</x:v>
      </x:c>
      <x:c r="B37" s="31" t="str">
        <x:v>Phase 5 - Toolhead</x:v>
      </x:c>
      <x:c r="C37" s="31" t="str">
        <x:v>Finalize toolhead controller placement</x:v>
      </x:c>
      <x:c r="D37" s="32" t="str">
        <x:v>Project Owner</x:v>
      </x:c>
      <x:c r="E37" s="32" t="str">
        <x:v>Not Started</x:v>
      </x:c>
      <x:c r="F37" s="32" t="str">
        <x:v>High</x:v>
      </x:c>
      <x:c r="G37" s="32" t="n">
        <x:v>3</x:v>
      </x:c>
      <x:c r="H37" s="33" t="n">
        <x:v>46286.708333333336</x:v>
      </x:c>
      <x:c r="I37" s="33" t="n">
        <x:f>IF(OR(H37="",G37=""),"",H37+G37-1)</x:f>
        <x:v>46288.708333333336</x:v>
      </x:c>
      <x:c r="J37" s="34" t="n">
        <x:v>0</x:v>
      </x:c>
      <x:c r="K37" s="31" t="str">
        <x:v>P1-GATE</x:v>
      </x:c>
      <x:c r="L37" s="31" t="str">
        <x:v>ADR update</x:v>
      </x:c>
      <x:c r="M37" s="31" t="str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41"/>
      <x:c r="AF37" s="41"/>
      <x:c r="AG37" s="41"/>
      <x:c r="AH37" s="41"/>
      <x:c r="AI37" s="41"/>
      <x:c r="AJ37" s="41"/>
      <x:c r="AK37" s="41"/>
      <x:c r="AL37" s="41"/>
      <x:c r="AM37" s="41"/>
      <x:c r="AN37" s="41"/>
      <x:c r="AO37" s="41"/>
      <x:c r="AP37" s="41"/>
      <x:c r="AQ37" s="41"/>
      <x:c r="AR37" s="41"/>
    </x:row>
    <x:row r="38" ht="32" customHeight="1">
      <x:c r="A38" s="28" t="str">
        <x:v>P5-02</x:v>
      </x:c>
      <x:c r="B38" s="31" t="str">
        <x:v>Phase 5 - Toolhead</x:v>
      </x:c>
      <x:c r="C38" s="31" t="str">
        <x:v>Verify actuator direction and safe travel (T-01)</x:v>
      </x:c>
      <x:c r="D38" s="32" t="str">
        <x:v>Project Owner</x:v>
      </x:c>
      <x:c r="E38" s="32" t="str">
        <x:v>Not Started</x:v>
      </x:c>
      <x:c r="F38" s="32" t="str">
        <x:v>High</x:v>
      </x:c>
      <x:c r="G38" s="32" t="n">
        <x:v>3</x:v>
      </x:c>
      <x:c r="H38" s="33" t="n">
        <x:v>46289.708333333336</x:v>
      </x:c>
      <x:c r="I38" s="33" t="n">
        <x:f>IF(OR(H38="",G38=""),"",H38+G38-1)</x:f>
        <x:v>46291.708333333336</x:v>
      </x:c>
      <x:c r="J38" s="34" t="n">
        <x:v>0</x:v>
      </x:c>
      <x:c r="K38" s="31" t="str">
        <x:v>P5-01</x:v>
      </x:c>
      <x:c r="L38" s="31" t="str">
        <x:v>T-01 result</x:v>
      </x:c>
      <x:c r="M38" s="31" t="str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41"/>
      <x:c r="AF38" s="41"/>
      <x:c r="AG38" s="41"/>
      <x:c r="AH38" s="41"/>
      <x:c r="AI38" s="41"/>
      <x:c r="AJ38" s="41"/>
      <x:c r="AK38" s="41"/>
      <x:c r="AL38" s="41"/>
      <x:c r="AM38" s="41"/>
      <x:c r="AN38" s="41"/>
      <x:c r="AO38" s="41"/>
      <x:c r="AP38" s="41"/>
      <x:c r="AQ38" s="41"/>
      <x:c r="AR38" s="41"/>
    </x:row>
    <x:row r="39" ht="32" customHeight="1">
      <x:c r="A39" s="28" t="str">
        <x:v>P5-03</x:v>
      </x:c>
      <x:c r="B39" s="31" t="str">
        <x:v>Phase 5 - Toolhead</x:v>
      </x:c>
      <x:c r="C39" s="31" t="str">
        <x:v>Implement BOOT/LIFT/SEEK/HOLD/FAULT state machine</x:v>
      </x:c>
      <x:c r="D39" s="32" t="str">
        <x:v>Codex</x:v>
      </x:c>
      <x:c r="E39" s="32" t="str">
        <x:v>Not Started</x:v>
      </x:c>
      <x:c r="F39" s="32" t="str">
        <x:v>High</x:v>
      </x:c>
      <x:c r="G39" s="32" t="n">
        <x:v>8</x:v>
      </x:c>
      <x:c r="H39" s="33" t="n">
        <x:v>46293.708333333336</x:v>
      </x:c>
      <x:c r="I39" s="33" t="n">
        <x:f>IF(OR(H39="",G39=""),"",H39+G39-1)</x:f>
        <x:v>46300.708333333336</x:v>
      </x:c>
      <x:c r="J39" s="34" t="n">
        <x:v>0</x:v>
      </x:c>
      <x:c r="K39" s="31" t="str">
        <x:v>P5-02</x:v>
      </x:c>
      <x:c r="L39" s="31" t="str">
        <x:v>Firmware commit</x:v>
      </x:c>
      <x:c r="M39" s="31" t="str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41"/>
      <x:c r="AF39" s="41"/>
      <x:c r="AG39" s="41"/>
      <x:c r="AH39" s="41"/>
      <x:c r="AI39" s="41"/>
      <x:c r="AJ39" s="41"/>
      <x:c r="AK39" s="41"/>
      <x:c r="AL39" s="41"/>
      <x:c r="AM39" s="41"/>
      <x:c r="AN39" s="41"/>
      <x:c r="AO39" s="41"/>
      <x:c r="AP39" s="41"/>
      <x:c r="AQ39" s="41"/>
      <x:c r="AR39" s="41"/>
    </x:row>
    <x:row r="40" ht="32" customHeight="1">
      <x:c r="A40" s="28" t="str">
        <x:v>P5-04</x:v>
      </x:c>
      <x:c r="B40" s="31" t="str">
        <x:v>Phase 5 - Toolhead</x:v>
      </x:c>
      <x:c r="C40" s="31" t="str">
        <x:v>Add travel, timeout, sensor, and force-limit faults</x:v>
      </x:c>
      <x:c r="D40" s="32" t="str">
        <x:v>Codex</x:v>
      </x:c>
      <x:c r="E40" s="32" t="str">
        <x:v>Not Started</x:v>
      </x:c>
      <x:c r="F40" s="32" t="str">
        <x:v>High</x:v>
      </x:c>
      <x:c r="G40" s="32" t="n">
        <x:v>4</x:v>
      </x:c>
      <x:c r="H40" s="33" t="n">
        <x:v>46301.708333333336</x:v>
      </x:c>
      <x:c r="I40" s="33" t="n">
        <x:f>IF(OR(H40="",G40=""),"",H40+G40-1)</x:f>
        <x:v>46304.708333333336</x:v>
      </x:c>
      <x:c r="J40" s="34" t="n">
        <x:v>0</x:v>
      </x:c>
      <x:c r="K40" s="31" t="str">
        <x:v>P5-03</x:v>
      </x:c>
      <x:c r="L40" s="31" t="str">
        <x:v>Firmware tests</x:v>
      </x:c>
      <x:c r="M40" s="31" t="str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41"/>
      <x:c r="AF40" s="41"/>
      <x:c r="AG40" s="41"/>
      <x:c r="AH40" s="41"/>
      <x:c r="AI40" s="41"/>
      <x:c r="AJ40" s="41"/>
      <x:c r="AK40" s="41"/>
      <x:c r="AL40" s="41"/>
      <x:c r="AM40" s="41"/>
      <x:c r="AN40" s="41"/>
      <x:c r="AO40" s="41"/>
      <x:c r="AP40" s="41"/>
      <x:c r="AQ40" s="41"/>
      <x:c r="AR40" s="41"/>
    </x:row>
    <x:row r="41" ht="32" customHeight="1">
      <x:c r="A41" s="28" t="str">
        <x:v>P5-05</x:v>
      </x:c>
      <x:c r="B41" s="31" t="str">
        <x:v>Phase 5 - Toolhead</x:v>
      </x:c>
      <x:c r="C41" s="31" t="str">
        <x:v>Characterize backlash and implement contact seek (T-02)</x:v>
      </x:c>
      <x:c r="D41" s="32" t="str">
        <x:v>Project Owner</x:v>
      </x:c>
      <x:c r="E41" s="32" t="str">
        <x:v>Not Started</x:v>
      </x:c>
      <x:c r="F41" s="32" t="str">
        <x:v>High</x:v>
      </x:c>
      <x:c r="G41" s="32" t="n">
        <x:v>4</x:v>
      </x:c>
      <x:c r="H41" s="33" t="n">
        <x:v>46307.708333333336</x:v>
      </x:c>
      <x:c r="I41" s="33" t="n">
        <x:f>IF(OR(H41="",G41=""),"",H41+G41-1)</x:f>
        <x:v>46310.708333333336</x:v>
      </x:c>
      <x:c r="J41" s="34" t="n">
        <x:v>0</x:v>
      </x:c>
      <x:c r="K41" s="31" t="str">
        <x:v>P5-04</x:v>
      </x:c>
      <x:c r="L41" s="31" t="str">
        <x:v>T-02 result</x:v>
      </x:c>
      <x:c r="M41" s="31" t="str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41"/>
      <x:c r="AF41" s="41"/>
      <x:c r="AG41" s="41"/>
      <x:c r="AH41" s="41"/>
      <x:c r="AI41" s="41"/>
      <x:c r="AJ41" s="41"/>
      <x:c r="AK41" s="41"/>
      <x:c r="AL41" s="41"/>
      <x:c r="AM41" s="41"/>
      <x:c r="AN41" s="41"/>
      <x:c r="AO41" s="41"/>
      <x:c r="AP41" s="41"/>
      <x:c r="AQ41" s="41"/>
      <x:c r="AR41" s="41"/>
    </x:row>
    <x:row r="42" ht="32" customHeight="1">
      <x:c r="A42" s="28" t="str">
        <x:v>P5-06</x:v>
      </x:c>
      <x:c r="B42" s="31" t="str">
        <x:v>Phase 5 - Toolhead</x:v>
      </x:c>
      <x:c r="C42" s="31" t="str">
        <x:v>Implement and tune force control (T-03)</x:v>
      </x:c>
      <x:c r="D42" s="32" t="str">
        <x:v>Codex</x:v>
      </x:c>
      <x:c r="E42" s="32" t="str">
        <x:v>Not Started</x:v>
      </x:c>
      <x:c r="F42" s="32" t="str">
        <x:v>High</x:v>
      </x:c>
      <x:c r="G42" s="32" t="n">
        <x:v>7</x:v>
      </x:c>
      <x:c r="H42" s="33" t="n">
        <x:v>46311.708333333336</x:v>
      </x:c>
      <x:c r="I42" s="33" t="n">
        <x:f>IF(OR(H42="",G42=""),"",H42+G42-1)</x:f>
        <x:v>46317.708333333336</x:v>
      </x:c>
      <x:c r="J42" s="34" t="n">
        <x:v>0</x:v>
      </x:c>
      <x:c r="K42" s="31" t="str">
        <x:v>P5-05</x:v>
      </x:c>
      <x:c r="L42" s="31" t="str">
        <x:v>T-03 data + firmware</x:v>
      </x:c>
      <x:c r="M42" s="31" t="str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41"/>
      <x:c r="AF42" s="41"/>
      <x:c r="AG42" s="41"/>
      <x:c r="AH42" s="41"/>
      <x:c r="AI42" s="41"/>
      <x:c r="AJ42" s="41"/>
      <x:c r="AK42" s="41"/>
      <x:c r="AL42" s="41"/>
      <x:c r="AM42" s="41"/>
      <x:c r="AN42" s="41"/>
      <x:c r="AO42" s="41"/>
      <x:c r="AP42" s="41"/>
      <x:c r="AQ42" s="41"/>
      <x:c r="AR42" s="41"/>
    </x:row>
    <x:row r="43" ht="32" customHeight="1">
      <x:c r="A43" s="28" t="str">
        <x:v>P5-07</x:v>
      </x:c>
      <x:c r="B43" s="31" t="str">
        <x:v>Phase 5 - Toolhead</x:v>
      </x:c>
      <x:c r="C43" s="31" t="str">
        <x:v>Verify missing-paper, overforce, and disconnect faults (T-04 to T-06)</x:v>
      </x:c>
      <x:c r="D43" s="32" t="str">
        <x:v>Project Owner</x:v>
      </x:c>
      <x:c r="E43" s="32" t="str">
        <x:v>Not Started</x:v>
      </x:c>
      <x:c r="F43" s="32" t="str">
        <x:v>High</x:v>
      </x:c>
      <x:c r="G43" s="32" t="n">
        <x:v>4</x:v>
      </x:c>
      <x:c r="H43" s="33" t="n">
        <x:v>46321.708333333336</x:v>
      </x:c>
      <x:c r="I43" s="33" t="n">
        <x:f>IF(OR(H43="",G43=""),"",H43+G43-1)</x:f>
        <x:v>46324.708333333336</x:v>
      </x:c>
      <x:c r="J43" s="34" t="n">
        <x:v>0</x:v>
      </x:c>
      <x:c r="K43" s="31" t="str">
        <x:v>P5-06</x:v>
      </x:c>
      <x:c r="L43" s="31" t="str">
        <x:v>T-04 to T-06 results</x:v>
      </x:c>
      <x:c r="M43" s="31" t="str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41"/>
      <x:c r="AF43" s="41"/>
      <x:c r="AG43" s="41"/>
      <x:c r="AH43" s="41"/>
      <x:c r="AI43" s="41"/>
      <x:c r="AJ43" s="41"/>
      <x:c r="AK43" s="41"/>
      <x:c r="AL43" s="41"/>
      <x:c r="AM43" s="41"/>
      <x:c r="AN43" s="41"/>
      <x:c r="AO43" s="41"/>
      <x:c r="AP43" s="41"/>
      <x:c r="AQ43" s="41"/>
      <x:c r="AR43" s="41"/>
    </x:row>
    <x:row r="44" ht="32" customHeight="1">
      <x:c r="A44" s="28" t="str">
        <x:v>P5-GATE</x:v>
      </x:c>
      <x:c r="B44" s="31" t="str">
        <x:v>Phase 5 - Toolhead</x:v>
      </x:c>
      <x:c r="C44" s="31" t="str">
        <x:v>Milestone: toolhead bench-loop gate</x:v>
      </x:c>
      <x:c r="D44" s="32" t="str">
        <x:v>Project Owner</x:v>
      </x:c>
      <x:c r="E44" s="32" t="str">
        <x:v>Not Started</x:v>
      </x:c>
      <x:c r="F44" s="32" t="str">
        <x:v>High</x:v>
      </x:c>
      <x:c r="G44" s="32" t="n">
        <x:v>1</x:v>
      </x:c>
      <x:c r="H44" s="33" t="n">
        <x:v>46325.708333333336</x:v>
      </x:c>
      <x:c r="I44" s="33" t="n">
        <x:f>IF(OR(H44="",G44=""),"",H44+G44-1)</x:f>
        <x:v>46325.708333333336</x:v>
      </x:c>
      <x:c r="J44" s="34" t="n">
        <x:v>0</x:v>
      </x:c>
      <x:c r="K44" s="31" t="str">
        <x:v>P5-07</x:v>
      </x:c>
      <x:c r="L44" s="31" t="str">
        <x:v>Phase 5 checklist</x:v>
      </x:c>
      <x:c r="M44" s="31" t="str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41"/>
      <x:c r="AF44" s="41"/>
      <x:c r="AG44" s="41"/>
      <x:c r="AH44" s="41"/>
      <x:c r="AI44" s="41"/>
      <x:c r="AJ44" s="41"/>
      <x:c r="AK44" s="41"/>
      <x:c r="AL44" s="41"/>
      <x:c r="AM44" s="41"/>
      <x:c r="AN44" s="41"/>
      <x:c r="AO44" s="41"/>
      <x:c r="AP44" s="41"/>
      <x:c r="AQ44" s="41"/>
      <x:c r="AR44" s="41"/>
    </x:row>
    <x:row r="45" ht="32" customHeight="1">
      <x:c r="A45" s="28" t="str">
        <x:v>P6-01</x:v>
      </x:c>
      <x:c r="B45" s="31" t="str">
        <x:v>Phase 6 - Integration</x:v>
      </x:c>
      <x:c r="C45" s="31" t="str">
        <x:v>Connect grblHAL M3/M5 to toolhead ENGAGE/LIFT</x:v>
      </x:c>
      <x:c r="D45" s="32" t="str">
        <x:v>Project Owner</x:v>
      </x:c>
      <x:c r="E45" s="32" t="str">
        <x:v>Not Started</x:v>
      </x:c>
      <x:c r="F45" s="32" t="str">
        <x:v>High</x:v>
      </x:c>
      <x:c r="G45" s="32" t="n">
        <x:v>3</x:v>
      </x:c>
      <x:c r="H45" s="33" t="n">
        <x:v>46328.75</x:v>
      </x:c>
      <x:c r="I45" s="33" t="n">
        <x:f>IF(OR(H45="",G45=""),"",H45+G45-1)</x:f>
        <x:v>46330.75</x:v>
      </x:c>
      <x:c r="J45" s="34" t="n">
        <x:v>0</x:v>
      </x:c>
      <x:c r="K45" s="31" t="str">
        <x:v>P4-GATE,P5-GATE</x:v>
      </x:c>
      <x:c r="L45" s="31" t="str">
        <x:v>Interface test</x:v>
      </x:c>
      <x:c r="M45" s="31" t="str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41"/>
      <x:c r="AF45" s="41"/>
      <x:c r="AG45" s="41"/>
      <x:c r="AH45" s="41"/>
      <x:c r="AI45" s="41"/>
      <x:c r="AJ45" s="41"/>
      <x:c r="AK45" s="41"/>
      <x:c r="AL45" s="41"/>
      <x:c r="AM45" s="41"/>
      <x:c r="AN45" s="41"/>
      <x:c r="AO45" s="41"/>
      <x:c r="AP45" s="41"/>
      <x:c r="AQ45" s="41"/>
      <x:c r="AR45" s="41"/>
    </x:row>
    <x:row r="46" ht="32" customHeight="1">
      <x:c r="A46" s="28" t="str">
        <x:v>P6-02</x:v>
      </x:c>
      <x:c r="B46" s="31" t="str">
        <x:v>Phase 6 - Integration</x:v>
      </x:c>
      <x:c r="C46" s="31" t="str">
        <x:v>Verify reset/E-stop safety and G4 dwell timing</x:v>
      </x:c>
      <x:c r="D46" s="32" t="str">
        <x:v>Project Owner</x:v>
      </x:c>
      <x:c r="E46" s="32" t="str">
        <x:v>Not Started</x:v>
      </x:c>
      <x:c r="F46" s="32" t="str">
        <x:v>High</x:v>
      </x:c>
      <x:c r="G46" s="32" t="n">
        <x:v>3</x:v>
      </x:c>
      <x:c r="H46" s="33" t="n">
        <x:v>46331.75</x:v>
      </x:c>
      <x:c r="I46" s="33" t="n">
        <x:f>IF(OR(H46="",G46=""),"",H46+G46-1)</x:f>
        <x:v>46333.75</x:v>
      </x:c>
      <x:c r="J46" s="34" t="n">
        <x:v>0</x:v>
      </x:c>
      <x:c r="K46" s="31" t="str">
        <x:v>P6-01</x:v>
      </x:c>
      <x:c r="L46" s="31" t="str">
        <x:v>Safety test</x:v>
      </x:c>
      <x:c r="M46" s="31" t="str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41"/>
      <x:c r="AF46" s="41"/>
      <x:c r="AG46" s="41"/>
      <x:c r="AH46" s="41"/>
      <x:c r="AI46" s="41"/>
      <x:c r="AJ46" s="41"/>
      <x:c r="AK46" s="41"/>
      <x:c r="AL46" s="41"/>
      <x:c r="AM46" s="41"/>
      <x:c r="AN46" s="41"/>
      <x:c r="AO46" s="41"/>
      <x:c r="AP46" s="41"/>
      <x:c r="AQ46" s="41"/>
      <x:c r="AR46" s="41"/>
    </x:row>
    <x:row r="47" ht="32" customHeight="1">
      <x:c r="A47" s="28" t="str">
        <x:v>P6-03</x:v>
      </x:c>
      <x:c r="B47" s="31" t="str">
        <x:v>Phase 6 - Integration</x:v>
      </x:c>
      <x:c r="C47" s="31" t="str">
        <x:v>Check toolhead workload for lost steps or jitter</x:v>
      </x:c>
      <x:c r="D47" s="32" t="str">
        <x:v>Project Owner</x:v>
      </x:c>
      <x:c r="E47" s="32" t="str">
        <x:v>Not Started</x:v>
      </x:c>
      <x:c r="F47" s="32" t="str">
        <x:v>High</x:v>
      </x:c>
      <x:c r="G47" s="32" t="n">
        <x:v>3</x:v>
      </x:c>
      <x:c r="H47" s="33" t="n">
        <x:v>46336.75</x:v>
      </x:c>
      <x:c r="I47" s="33" t="n">
        <x:f>IF(OR(H47="",G47=""),"",H47+G47-1)</x:f>
        <x:v>46338.75</x:v>
      </x:c>
      <x:c r="J47" s="34" t="n">
        <x:v>0</x:v>
      </x:c>
      <x:c r="K47" s="31" t="str">
        <x:v>P6-02</x:v>
      </x:c>
      <x:c r="L47" s="31" t="str">
        <x:v>Timing measurements</x:v>
      </x:c>
      <x:c r="M47" s="31" t="str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41"/>
      <x:c r="AF47" s="41"/>
      <x:c r="AG47" s="41"/>
      <x:c r="AH47" s="41"/>
      <x:c r="AI47" s="41"/>
      <x:c r="AJ47" s="41"/>
      <x:c r="AK47" s="41"/>
      <x:c r="AL47" s="41"/>
      <x:c r="AM47" s="41"/>
      <x:c r="AN47" s="41"/>
      <x:c r="AO47" s="41"/>
      <x:c r="AP47" s="41"/>
      <x:c r="AQ47" s="41"/>
      <x:c r="AR47" s="41"/>
    </x:row>
    <x:row r="48" ht="32" customHeight="1">
      <x:c r="A48" s="28" t="str">
        <x:v>P6-04</x:v>
      </x:c>
      <x:c r="B48" s="31" t="str">
        <x:v>Phase 6 - Integration</x:v>
      </x:c>
      <x:c r="C48" s="31" t="str">
        <x:v>Complete calibration and theta-heavy drawings</x:v>
      </x:c>
      <x:c r="D48" s="32" t="str">
        <x:v>Project Owner</x:v>
      </x:c>
      <x:c r="E48" s="32" t="str">
        <x:v>Not Started</x:v>
      </x:c>
      <x:c r="F48" s="32" t="str">
        <x:v>High</x:v>
      </x:c>
      <x:c r="G48" s="32" t="n">
        <x:v>5</x:v>
      </x:c>
      <x:c r="H48" s="33" t="n">
        <x:v>46339.75</x:v>
      </x:c>
      <x:c r="I48" s="33" t="n">
        <x:f>IF(OR(H48="",G48=""),"",H48+G48-1)</x:f>
        <x:v>46343.75</x:v>
      </x:c>
      <x:c r="J48" s="34" t="n">
        <x:v>0</x:v>
      </x:c>
      <x:c r="K48" s="31" t="str">
        <x:v>P6-03</x:v>
      </x:c>
      <x:c r="L48" s="31" t="str">
        <x:v>Drawings + photos</x:v>
      </x:c>
      <x:c r="M48" s="31" t="str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41"/>
      <x:c r="AF48" s="41"/>
      <x:c r="AG48" s="41"/>
      <x:c r="AH48" s="41"/>
      <x:c r="AI48" s="41"/>
      <x:c r="AJ48" s="41"/>
      <x:c r="AK48" s="41"/>
      <x:c r="AL48" s="41"/>
      <x:c r="AM48" s="41"/>
      <x:c r="AN48" s="41"/>
      <x:c r="AO48" s="41"/>
      <x:c r="AP48" s="41"/>
      <x:c r="AQ48" s="41"/>
      <x:c r="AR48" s="41"/>
    </x:row>
    <x:row r="49" ht="32" customHeight="1">
      <x:c r="A49" s="28" t="str">
        <x:v>P6-GATE</x:v>
      </x:c>
      <x:c r="B49" s="31" t="str">
        <x:v>Phase 6 - Integration</x:v>
      </x:c>
      <x:c r="C49" s="31" t="str">
        <x:v>Milestone: system integration gate</x:v>
      </x:c>
      <x:c r="D49" s="32" t="str">
        <x:v>Project Owner</x:v>
      </x:c>
      <x:c r="E49" s="32" t="str">
        <x:v>Not Started</x:v>
      </x:c>
      <x:c r="F49" s="32" t="str">
        <x:v>High</x:v>
      </x:c>
      <x:c r="G49" s="32" t="n">
        <x:v>1</x:v>
      </x:c>
      <x:c r="H49" s="33" t="n">
        <x:v>46346.75</x:v>
      </x:c>
      <x:c r="I49" s="33" t="n">
        <x:f>IF(OR(H49="",G49=""),"",H49+G49-1)</x:f>
        <x:v>46346.75</x:v>
      </x:c>
      <x:c r="J49" s="34" t="n">
        <x:v>0</x:v>
      </x:c>
      <x:c r="K49" s="31" t="str">
        <x:v>P6-04</x:v>
      </x:c>
      <x:c r="L49" s="31" t="str">
        <x:v>Phase 6 checklist</x:v>
      </x:c>
      <x:c r="M49" s="31" t="str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41"/>
      <x:c r="AF49" s="41"/>
      <x:c r="AG49" s="41"/>
      <x:c r="AH49" s="41"/>
      <x:c r="AI49" s="41"/>
      <x:c r="AJ49" s="41"/>
      <x:c r="AK49" s="41"/>
      <x:c r="AL49" s="41"/>
      <x:c r="AM49" s="41"/>
      <x:c r="AN49" s="41"/>
      <x:c r="AO49" s="41"/>
      <x:c r="AP49" s="41"/>
      <x:c r="AQ49" s="41"/>
      <x:c r="AR49" s="41"/>
    </x:row>
    <x:row r="50" ht="32" customHeight="1">
      <x:c r="A50" s="28" t="str">
        <x:v>P7-01</x:v>
      </x:c>
      <x:c r="B50" s="31" t="str">
        <x:v>Phase 7 - Validation</x:v>
      </x:c>
      <x:c r="C50" s="31" t="str">
        <x:v>Measure calibration-pattern dimensions and execution time</x:v>
      </x:c>
      <x:c r="D50" s="32" t="str">
        <x:v>Project Owner</x:v>
      </x:c>
      <x:c r="E50" s="32" t="str">
        <x:v>Not Started</x:v>
      </x:c>
      <x:c r="F50" s="32" t="str">
        <x:v>High</x:v>
      </x:c>
      <x:c r="G50" s="32" t="n">
        <x:v>4</x:v>
      </x:c>
      <x:c r="H50" s="33" t="n">
        <x:v>46349.75</x:v>
      </x:c>
      <x:c r="I50" s="33" t="n">
        <x:f>IF(OR(H50="",G50=""),"",H50+G50-1)</x:f>
        <x:v>46352.75</x:v>
      </x:c>
      <x:c r="J50" s="34" t="n">
        <x:v>0</x:v>
      </x:c>
      <x:c r="K50" s="31" t="str">
        <x:v>P6-GATE</x:v>
      </x:c>
      <x:c r="L50" s="31" t="str">
        <x:v>Measurement tables</x:v>
      </x:c>
      <x:c r="M50" s="31" t="str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41"/>
      <x:c r="AF50" s="41"/>
      <x:c r="AG50" s="41"/>
      <x:c r="AH50" s="41"/>
      <x:c r="AI50" s="41"/>
      <x:c r="AJ50" s="41"/>
      <x:c r="AK50" s="41"/>
      <x:c r="AL50" s="41"/>
      <x:c r="AM50" s="41"/>
      <x:c r="AN50" s="41"/>
      <x:c r="AO50" s="41"/>
      <x:c r="AP50" s="41"/>
      <x:c r="AQ50" s="41"/>
      <x:c r="AR50" s="41"/>
    </x:row>
    <x:row r="51" ht="32" customHeight="1">
      <x:c r="A51" s="28" t="str">
        <x:v>P7-02</x:v>
      </x:c>
      <x:c r="B51" s="31" t="str">
        <x:v>Phase 7 - Validation</x:v>
      </x:c>
      <x:c r="C51" s="31" t="str">
        <x:v>Record force error during straight, curved, and rotating moves</x:v>
      </x:c>
      <x:c r="D51" s="32" t="str">
        <x:v>Project Owner</x:v>
      </x:c>
      <x:c r="E51" s="32" t="str">
        <x:v>Not Started</x:v>
      </x:c>
      <x:c r="F51" s="32" t="str">
        <x:v>High</x:v>
      </x:c>
      <x:c r="G51" s="32" t="n">
        <x:v>4</x:v>
      </x:c>
      <x:c r="H51" s="33" t="n">
        <x:v>46356.75</x:v>
      </x:c>
      <x:c r="I51" s="33" t="n">
        <x:f>IF(OR(H51="",G51=""),"",H51+G51-1)</x:f>
        <x:v>46359.75</x:v>
      </x:c>
      <x:c r="J51" s="34" t="n">
        <x:v>0</x:v>
      </x:c>
      <x:c r="K51" s="31" t="str">
        <x:v>P7-01</x:v>
      </x:c>
      <x:c r="L51" s="31" t="str">
        <x:v>Force plots</x:v>
      </x:c>
      <x:c r="M51" s="31" t="str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41"/>
      <x:c r="AF51" s="41"/>
      <x:c r="AG51" s="41"/>
      <x:c r="AH51" s="41"/>
      <x:c r="AI51" s="41"/>
      <x:c r="AJ51" s="41"/>
      <x:c r="AK51" s="41"/>
      <x:c r="AL51" s="41"/>
      <x:c r="AM51" s="41"/>
      <x:c r="AN51" s="41"/>
      <x:c r="AO51" s="41"/>
      <x:c r="AP51" s="41"/>
      <x:c r="AQ51" s="41"/>
      <x:c r="AR51" s="41"/>
    </x:row>
    <x:row r="52" ht="32" customHeight="1">
      <x:c r="A52" s="28" t="str">
        <x:v>P7-03</x:v>
      </x:c>
      <x:c r="B52" s="31" t="str">
        <x:v>Phase 7 - Validation</x:v>
      </x:c>
      <x:c r="C52" s="31" t="str">
        <x:v>Photograph final wiring/mechanics and archive firmware/settings</x:v>
      </x:c>
      <x:c r="D52" s="32" t="str">
        <x:v>Project Owner</x:v>
      </x:c>
      <x:c r="E52" s="32" t="str">
        <x:v>Not Started</x:v>
      </x:c>
      <x:c r="F52" s="32" t="str">
        <x:v>Medium</x:v>
      </x:c>
      <x:c r="G52" s="32" t="n">
        <x:v>3</x:v>
      </x:c>
      <x:c r="H52" s="33" t="n">
        <x:v>46360.75</x:v>
      </x:c>
      <x:c r="I52" s="33" t="n">
        <x:f>IF(OR(H52="",G52=""),"",H52+G52-1)</x:f>
        <x:v>46362.75</x:v>
      </x:c>
      <x:c r="J52" s="34" t="n">
        <x:v>0</x:v>
      </x:c>
      <x:c r="K52" s="31" t="str">
        <x:v>P7-02</x:v>
      </x:c>
      <x:c r="L52" s="31" t="str">
        <x:v>Photos + build archive</x:v>
      </x:c>
      <x:c r="M52" s="31" t="str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41"/>
      <x:c r="AF52" s="41"/>
      <x:c r="AG52" s="41"/>
      <x:c r="AH52" s="41"/>
      <x:c r="AI52" s="41"/>
      <x:c r="AJ52" s="41"/>
      <x:c r="AK52" s="41"/>
      <x:c r="AL52" s="41"/>
      <x:c r="AM52" s="41"/>
      <x:c r="AN52" s="41"/>
      <x:c r="AO52" s="41"/>
      <x:c r="AP52" s="41"/>
      <x:c r="AQ52" s="41"/>
      <x:c r="AR52" s="41"/>
    </x:row>
    <x:row r="53" ht="32" customHeight="1">
      <x:c r="A53" s="28" t="str">
        <x:v>P7-04</x:v>
      </x:c>
      <x:c r="B53" s="31" t="str">
        <x:v>Phase 7 - Validation</x:v>
      </x:c>
      <x:c r="C53" s="31" t="str">
        <x:v>Document results, failures, limitations, and future work</x:v>
      </x:c>
      <x:c r="D53" s="32" t="str">
        <x:v>Codex</x:v>
      </x:c>
      <x:c r="E53" s="32" t="str">
        <x:v>Not Started</x:v>
      </x:c>
      <x:c r="F53" s="32" t="str">
        <x:v>High</x:v>
      </x:c>
      <x:c r="G53" s="32" t="n">
        <x:v>6</x:v>
      </x:c>
      <x:c r="H53" s="33" t="n">
        <x:v>46365.75</x:v>
      </x:c>
      <x:c r="I53" s="33" t="n">
        <x:f>IF(OR(H53="",G53=""),"",H53+G53-1)</x:f>
        <x:v>46370.75</x:v>
      </x:c>
      <x:c r="J53" s="34" t="n">
        <x:v>0</x:v>
      </x:c>
      <x:c r="K53" s="31" t="str">
        <x:v>P7-03</x:v>
      </x:c>
      <x:c r="L53" s="31" t="str">
        <x:v>Report draft</x:v>
      </x:c>
      <x:c r="M53" s="31" t="str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41"/>
      <x:c r="AF53" s="41"/>
      <x:c r="AG53" s="41"/>
      <x:c r="AH53" s="41"/>
      <x:c r="AI53" s="41"/>
      <x:c r="AJ53" s="41"/>
      <x:c r="AK53" s="41"/>
      <x:c r="AL53" s="41"/>
      <x:c r="AM53" s="41"/>
      <x:c r="AN53" s="41"/>
      <x:c r="AO53" s="41"/>
      <x:c r="AP53" s="41"/>
      <x:c r="AQ53" s="41"/>
      <x:c r="AR53" s="41"/>
    </x:row>
    <x:row r="54" ht="32" customHeight="1">
      <x:c r="A54" s="28" t="str">
        <x:v>P7-05</x:v>
      </x:c>
      <x:c r="B54" s="31" t="str">
        <x:v>Phase 7 - Validation</x:v>
      </x:c>
      <x:c r="C54" s="31" t="str">
        <x:v>Complete and export Systems Integration report</x:v>
      </x:c>
      <x:c r="D54" s="32" t="str">
        <x:v>Codex</x:v>
      </x:c>
      <x:c r="E54" s="32" t="str">
        <x:v>Not Started</x:v>
      </x:c>
      <x:c r="F54" s="32" t="str">
        <x:v>High</x:v>
      </x:c>
      <x:c r="G54" s="32" t="n">
        <x:v>8</x:v>
      </x:c>
      <x:c r="H54" s="33" t="n">
        <x:v>46373.75</x:v>
      </x:c>
      <x:c r="I54" s="33" t="n">
        <x:f>IF(OR(H54="",G54=""),"",H54+G54-1)</x:f>
        <x:v>46380.75</x:v>
      </x:c>
      <x:c r="J54" s="34" t="n">
        <x:v>0</x:v>
      </x:c>
      <x:c r="K54" s="31" t="str">
        <x:v>P7-04</x:v>
      </x:c>
      <x:c r="L54" s="31" t="str">
        <x:v>Final report</x:v>
      </x:c>
      <x:c r="M54" s="31" t="str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41"/>
      <x:c r="AF54" s="41"/>
      <x:c r="AG54" s="41"/>
      <x:c r="AH54" s="41"/>
      <x:c r="AI54" s="41"/>
      <x:c r="AJ54" s="41"/>
      <x:c r="AK54" s="41"/>
      <x:c r="AL54" s="41"/>
      <x:c r="AM54" s="41"/>
      <x:c r="AN54" s="41"/>
      <x:c r="AO54" s="41"/>
      <x:c r="AP54" s="41"/>
      <x:c r="AQ54" s="41"/>
      <x:c r="AR54" s="41"/>
    </x:row>
    <x:row r="55" ht="32" customHeight="1">
      <x:c r="A55" s="28" t="str">
        <x:v>P7-GATE</x:v>
      </x:c>
      <x:c r="B55" s="31" t="str">
        <x:v>Phase 7 - Validation</x:v>
      </x:c>
      <x:c r="C55" s="31" t="str">
        <x:v>Milestone: project validation and report complete</x:v>
      </x:c>
      <x:c r="D55" s="32" t="str">
        <x:v>Project Owner</x:v>
      </x:c>
      <x:c r="E55" s="32" t="str">
        <x:v>Not Started</x:v>
      </x:c>
      <x:c r="F55" s="32" t="str">
        <x:v>High</x:v>
      </x:c>
      <x:c r="G55" s="32" t="n">
        <x:v>1</x:v>
      </x:c>
      <x:c r="H55" s="33" t="n">
        <x:v>46385.75</x:v>
      </x:c>
      <x:c r="I55" s="33" t="n">
        <x:f>IF(OR(H55="",G55=""),"",H55+G55-1)</x:f>
        <x:v>46385.75</x:v>
      </x:c>
      <x:c r="J55" s="34" t="n">
        <x:v>0</x:v>
      </x:c>
      <x:c r="K55" s="31" t="str">
        <x:v>P7-05</x:v>
      </x:c>
      <x:c r="L55" s="31" t="str">
        <x:v>Phase 7 checklist</x:v>
      </x:c>
      <x:c r="M55" s="31" t="str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41"/>
      <x:c r="AF55" s="41"/>
      <x:c r="AG55" s="41"/>
      <x:c r="AH55" s="41"/>
      <x:c r="AI55" s="41"/>
      <x:c r="AJ55" s="41"/>
      <x:c r="AK55" s="41"/>
      <x:c r="AL55" s="41"/>
      <x:c r="AM55" s="41"/>
      <x:c r="AN55" s="41"/>
      <x:c r="AO55" s="41"/>
      <x:c r="AP55" s="41"/>
      <x:c r="AQ55" s="41"/>
      <x:c r="AR55" s="41"/>
    </x:row>
  </x:sheetData>
  <x:mergeCells>
    <x:mergeCell ref="A1:M1"/>
    <x:mergeCell ref="A2:M2"/>
    <x:mergeCell ref="A3:M3"/>
  </x:mergeCells>
  <x:conditionalFormatting sqref="E7:E55">
    <x:cfRule type="expression" dxfId="0" priority="1">
      <x:formula>$E7="Complete"</x:formula>
    </x:cfRule>
    <x:cfRule type="expression" dxfId="1" priority="2">
      <x:formula>$E7="In Progress"</x:formula>
    </x:cfRule>
    <x:cfRule type="expression" dxfId="2" priority="3">
      <x:formula>$E7="Blocked"</x:formula>
    </x:cfRule>
  </x:conditionalFormatting>
  <x:conditionalFormatting sqref="N7:AR55">
    <x:cfRule type="expression" dxfId="3" priority="4">
      <x:formula>AND(N$6&lt;=$I7,N$6+6&gt;=$H7,$E7="Not Started")</x:formula>
    </x:cfRule>
    <x:cfRule type="expression" dxfId="4" priority="5">
      <x:formula>AND(N$6&lt;=$I7,N$6+6&gt;=$H7,$E7="In Progress")</x:formula>
    </x:cfRule>
    <x:cfRule type="expression" dxfId="5" priority="6">
      <x:formula>AND(N$6&lt;=$I7,N$6+6&gt;=$H7,$E7="Blocked")</x:formula>
    </x:cfRule>
    <x:cfRule type="expression" dxfId="6" priority="7">
      <x:formula>AND(N$6&lt;=$I7,N$6+6&gt;=$H7,$E7="Complete")</x:formula>
    </x:cfRule>
    <x:cfRule type="expression" dxfId="7" priority="8">
      <x:formula>AND(N$6&lt;=$I7,N$6+6&gt;=$H7,ISNUMBER(SEARCH("Milestone",$C7)))</x:formula>
    </x:cfRule>
  </x:conditionalFormatting>
  <x:dataValidations count="4">
    <x:dataValidation type="list" sqref="D7:D55">
      <x:formula1>Lists!$C$2:$C$4</x:formula1>
    </x:dataValidation>
    <x:dataValidation type="list" sqref="E7:E55">
      <x:formula1>Lists!$A$2:$A$5</x:formula1>
    </x:dataValidation>
    <x:dataValidation type="list" sqref="F7:F55">
      <x:formula1>Lists!$B$2:$B$4</x:formula1>
    </x:dataValidation>
    <x:dataValidation type="decimal" operator="between" sqref="J7:J55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6cd4d7f9d1498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3" t="str">
        <x:v>Status</x:v>
      </x:c>
      <x:c r="B1" s="3" t="str">
        <x:v>Priority</x:v>
      </x:c>
      <x:c r="C1" s="3" t="str">
        <x:v>Owner</x:v>
      </x:c>
    </x:row>
    <x:row r="2">
      <x:c r="A2" s="4" t="str">
        <x:v>Not Started</x:v>
      </x:c>
      <x:c r="B2" s="4" t="str">
        <x:v>High</x:v>
      </x:c>
      <x:c r="C2" s="4" t="str">
        <x:v>Project Owner</x:v>
      </x:c>
    </x:row>
    <x:row r="3">
      <x:c r="A3" s="4" t="str">
        <x:v>In Progress</x:v>
      </x:c>
      <x:c r="B3" s="4" t="str">
        <x:v>Medium</x:v>
      </x:c>
      <x:c r="C3" s="4" t="str">
        <x:v>Codex</x:v>
      </x:c>
    </x:row>
    <x:row r="4">
      <x:c r="A4" s="4" t="str">
        <x:v>Blocked</x:v>
      </x:c>
      <x:c r="B4" s="4" t="str">
        <x:v>Low</x:v>
      </x:c>
      <x:c r="C4" s="4" t="str">
        <x:v>Shared</x:v>
      </x:c>
    </x:row>
    <x:row r="5">
      <x:c r="A5" s="4" t="str">
        <x:v>Complete</x:v>
      </x:c>
      <x:c r="B5" s="4" t="str"/>
      <x:c r="C5" s="4" t="str"/>
    </x:row>
  </x:sheetData>
  <x:pageMargins left="0.7" right="0.7" top="0.75" bottom="0.75" header="0.3" footer="0.3"/>
</x:worksheet>
</file>